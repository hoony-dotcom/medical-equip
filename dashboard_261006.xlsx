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UH\Desktop\"/>
    </mc:Choice>
  </mc:AlternateContent>
  <xr:revisionPtr revIDLastSave="0" documentId="13_ncr:1_{A82DC1BE-BC92-492C-BF82-D8CA266E8730}" xr6:coauthVersionLast="47" xr6:coauthVersionMax="47" xr10:uidLastSave="{00000000-0000-0000-0000-000000000000}"/>
  <bookViews>
    <workbookView xWindow="-120" yWindow="-120" windowWidth="29040" windowHeight="15990" xr2:uid="{76034374-3134-4196-BC82-9585DD782D15}"/>
  </bookViews>
  <sheets>
    <sheet name="Dashboard용" sheetId="1" r:id="rId1"/>
  </sheets>
  <definedNames>
    <definedName name="_xlnm._FilterDatabase" localSheetId="0" hidden="1">Dashboard용!$A$2:$O$274</definedName>
    <definedName name="_xlnm.Print_Area" localSheetId="0">Dashboard용!$A$1:$L$274</definedName>
    <definedName name="_xlnm.Print_Titles" localSheetId="0">Dashboard용!$2:$2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74" i="1" l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</calcChain>
</file>

<file path=xl/sharedStrings.xml><?xml version="1.0" encoding="utf-8"?>
<sst xmlns="http://schemas.openxmlformats.org/spreadsheetml/2006/main" count="1799" uniqueCount="497">
  <si>
    <t>2025, 2026학년도 의료장비 투자집행 계획</t>
    <phoneticPr fontId="3" type="noConversion"/>
  </si>
  <si>
    <t>2026.10.06. 기준 (단위:천원)</t>
    <phoneticPr fontId="3" type="noConversion"/>
  </si>
  <si>
    <t>순번</t>
    <phoneticPr fontId="3" type="noConversion"/>
  </si>
  <si>
    <t>진행상태</t>
    <phoneticPr fontId="3" type="noConversion"/>
  </si>
  <si>
    <t>투자구분</t>
    <phoneticPr fontId="3" type="noConversion"/>
  </si>
  <si>
    <t>신청부서</t>
    <phoneticPr fontId="3" type="noConversion"/>
  </si>
  <si>
    <t>장비명</t>
    <phoneticPr fontId="3" type="noConversion"/>
  </si>
  <si>
    <t>소요
구분</t>
    <phoneticPr fontId="3" type="noConversion"/>
  </si>
  <si>
    <t>수량</t>
    <phoneticPr fontId="3" type="noConversion"/>
  </si>
  <si>
    <t>승인금액</t>
    <phoneticPr fontId="3" type="noConversion"/>
  </si>
  <si>
    <t>계약금액</t>
    <phoneticPr fontId="3" type="noConversion"/>
  </si>
  <si>
    <r>
      <t xml:space="preserve">투자 계획
</t>
    </r>
    <r>
      <rPr>
        <b/>
        <sz val="12"/>
        <color rgb="FFFF0000"/>
        <rFont val="맑은 고딕"/>
        <family val="3"/>
        <charset val="129"/>
      </rPr>
      <t>(계약체결일)</t>
    </r>
    <phoneticPr fontId="3" type="noConversion"/>
  </si>
  <si>
    <t>비고</t>
    <phoneticPr fontId="3" type="noConversion"/>
  </si>
  <si>
    <t>비고2</t>
    <phoneticPr fontId="3" type="noConversion"/>
  </si>
  <si>
    <t>의공담당</t>
    <phoneticPr fontId="10" type="noConversion"/>
  </si>
  <si>
    <t>입찰규격 등 계약 진행 요청 월</t>
    <phoneticPr fontId="10" type="noConversion"/>
  </si>
  <si>
    <t>계약완료
요청시기</t>
    <phoneticPr fontId="10" type="noConversion"/>
  </si>
  <si>
    <t>완료</t>
    <phoneticPr fontId="3" type="noConversion"/>
  </si>
  <si>
    <t>24년 1차</t>
  </si>
  <si>
    <t>CP</t>
    <phoneticPr fontId="3" type="noConversion"/>
  </si>
  <si>
    <t>ANALYZER, BLOOD GAS</t>
  </si>
  <si>
    <t>노후</t>
  </si>
  <si>
    <t>임대차</t>
    <phoneticPr fontId="3" type="noConversion"/>
  </si>
  <si>
    <t>MICROBIAL IDENTIFICATION SYSTEM</t>
  </si>
  <si>
    <t>24년 정기</t>
  </si>
  <si>
    <t>OR (OG)</t>
    <phoneticPr fontId="3" type="noConversion"/>
  </si>
  <si>
    <t>ENDOSCOPIC SYSTEM, LAPAROSCOPE, 4K,  ICG</t>
  </si>
  <si>
    <t>25년 긴급</t>
    <phoneticPr fontId="3" type="noConversion"/>
  </si>
  <si>
    <t>AMC</t>
    <phoneticPr fontId="3" type="noConversion"/>
  </si>
  <si>
    <t>AUDIOMETER, IMPEDANCE</t>
    <phoneticPr fontId="3" type="noConversion"/>
  </si>
  <si>
    <t>긴급</t>
    <phoneticPr fontId="3" type="noConversion"/>
  </si>
  <si>
    <t>T1, T2 각 1대</t>
    <phoneticPr fontId="3" type="noConversion"/>
  </si>
  <si>
    <t>FULLY-AUTOMATED NESTED-MULTIPLEX PCR SYSTEM</t>
  </si>
  <si>
    <t>신규</t>
  </si>
  <si>
    <t>STAINER, HEMATOLOGY SLIDE</t>
  </si>
  <si>
    <t>25년 정기</t>
    <phoneticPr fontId="3" type="noConversion"/>
  </si>
  <si>
    <t>OR</t>
    <phoneticPr fontId="3" type="noConversion"/>
  </si>
  <si>
    <t>LIGHT, SURGICAL, GENERAL, LED</t>
  </si>
  <si>
    <t>폐품</t>
  </si>
  <si>
    <t>OR (GS)</t>
    <phoneticPr fontId="3" type="noConversion"/>
  </si>
  <si>
    <t>MONITOR, NERVE</t>
  </si>
  <si>
    <t>추가</t>
  </si>
  <si>
    <t>OM</t>
    <phoneticPr fontId="3" type="noConversion"/>
  </si>
  <si>
    <t>SPIROMETER</t>
  </si>
  <si>
    <t>CCC</t>
    <phoneticPr fontId="3" type="noConversion"/>
  </si>
  <si>
    <t xml:space="preserve">INFUSION PUMP, VOLUMETRIC </t>
    <phoneticPr fontId="3" type="noConversion"/>
  </si>
  <si>
    <t>MONITOR, PATIENT</t>
    <phoneticPr fontId="3" type="noConversion"/>
  </si>
  <si>
    <t>CCV</t>
    <phoneticPr fontId="3" type="noConversion"/>
  </si>
  <si>
    <t>CARDIAC MAPPING SYSTEM</t>
  </si>
  <si>
    <t>중증진료
(보상금 100%)</t>
    <phoneticPr fontId="3" type="noConversion"/>
  </si>
  <si>
    <t>HP</t>
    <phoneticPr fontId="3" type="noConversion"/>
  </si>
  <si>
    <t>X-RAY SYS., MAMMOGRAPHY, DIGITAL</t>
  </si>
  <si>
    <t>BTC</t>
    <phoneticPr fontId="3" type="noConversion"/>
  </si>
  <si>
    <t>ROTABLATOR ARTHRECTOMY SYSTEM</t>
  </si>
  <si>
    <t>PMSC</t>
    <phoneticPr fontId="3" type="noConversion"/>
  </si>
  <si>
    <t>ANALYZER, ELECTROPHORESIS, FRAGMENT</t>
  </si>
  <si>
    <t>OSMOMETER, AUTOMATIC</t>
  </si>
  <si>
    <t>DM</t>
    <phoneticPr fontId="3" type="noConversion"/>
  </si>
  <si>
    <t>쿨소닉</t>
    <phoneticPr fontId="3" type="noConversion"/>
  </si>
  <si>
    <t>쿨페이즈</t>
    <phoneticPr fontId="3" type="noConversion"/>
  </si>
  <si>
    <t>ULTRASONOGRAPHY SYSTEM</t>
  </si>
  <si>
    <t>기존 장비 AMC 이관 필요하여 진행시기 조정</t>
    <phoneticPr fontId="3" type="noConversion"/>
  </si>
  <si>
    <t>OR (UR)</t>
    <phoneticPr fontId="3" type="noConversion"/>
  </si>
  <si>
    <t>TELESCOPE, 4mm 30도, RESECTO /W TUR ACC SET</t>
  </si>
  <si>
    <t>신청부서 조기 계약 요청</t>
    <phoneticPr fontId="3" type="noConversion"/>
  </si>
  <si>
    <t>REFRIGERATOR, BLOOD BANK</t>
  </si>
  <si>
    <t>FREEZER, LAB</t>
  </si>
  <si>
    <t>CENTRIFUGE</t>
  </si>
  <si>
    <t>(국책사업)
어린이공공진료</t>
    <phoneticPr fontId="3" type="noConversion"/>
  </si>
  <si>
    <t>LARYNGOSCOPE, VIDEO (비디오 후두경)</t>
    <phoneticPr fontId="3" type="noConversion"/>
  </si>
  <si>
    <t>국비50%</t>
    <phoneticPr fontId="3" type="noConversion"/>
  </si>
  <si>
    <t>G2B계약
(국고보조금 50%)</t>
    <phoneticPr fontId="3" type="noConversion"/>
  </si>
  <si>
    <t>OTOSCOPE, VIDEO</t>
    <phoneticPr fontId="3" type="noConversion"/>
  </si>
  <si>
    <t>NASAL HIGH FLOW DELIVERY SYSTEM</t>
    <phoneticPr fontId="10" type="noConversion"/>
  </si>
  <si>
    <t>25년 추가</t>
    <phoneticPr fontId="3" type="noConversion"/>
  </si>
  <si>
    <t>비디오 연성 기관지내시경</t>
    <phoneticPr fontId="3" type="noConversion"/>
  </si>
  <si>
    <t>2대 신청 1대만 승인</t>
    <phoneticPr fontId="3" type="noConversion"/>
  </si>
  <si>
    <t>23년 2차</t>
    <phoneticPr fontId="3" type="noConversion"/>
  </si>
  <si>
    <t>VENTILATOR</t>
    <phoneticPr fontId="10" type="noConversion"/>
  </si>
  <si>
    <t>24년 정기</t>
    <phoneticPr fontId="3" type="noConversion"/>
  </si>
  <si>
    <t xml:space="preserve">DEFIBRILLATOR, BIPHASIC </t>
    <phoneticPr fontId="10" type="noConversion"/>
  </si>
  <si>
    <t>ANALYZER, CHEMILLUMINESCENCE IMMUNE, POCT (의료용면역형광측정장치)</t>
    <phoneticPr fontId="10" type="noConversion"/>
  </si>
  <si>
    <t>MONITOR, CAPNOGRAPH, SpO2, PORTABLE</t>
    <phoneticPr fontId="10" type="noConversion"/>
  </si>
  <si>
    <t>MONITOR, ETCO2</t>
    <phoneticPr fontId="10" type="noConversion"/>
  </si>
  <si>
    <t>중앙환자감시장치(Monitor, Central)</t>
  </si>
  <si>
    <t>환자감시장치(Monitor, Patient)</t>
  </si>
  <si>
    <t>진행중(발주완료)</t>
    <phoneticPr fontId="3" type="noConversion"/>
  </si>
  <si>
    <t>TABLE, SURGICAL, UNIVERSAL</t>
    <phoneticPr fontId="3" type="noConversion"/>
  </si>
  <si>
    <t>소아수술실 신설 연기 &gt; 8/7 어린이공공 실사시 집행률 증대를 위해 선실행 의견</t>
    <phoneticPr fontId="3" type="noConversion"/>
  </si>
  <si>
    <t>ANESTHESIA M/C, W/VENTILATOR</t>
    <phoneticPr fontId="3" type="noConversion"/>
  </si>
  <si>
    <t>EGD</t>
    <phoneticPr fontId="3" type="noConversion"/>
  </si>
  <si>
    <t>DUODENOSCOPE, ELECTRONIC</t>
  </si>
  <si>
    <t>GASTROSCOPE, ULTRASONIC</t>
  </si>
  <si>
    <t>COLONOSCOPE, ELECTRONIC</t>
  </si>
  <si>
    <t>GASTROSCOPE, ELECTRONIC</t>
  </si>
  <si>
    <t>24년 추가</t>
    <phoneticPr fontId="3" type="noConversion"/>
  </si>
  <si>
    <t>(국책사업)
긴급치료병상</t>
    <phoneticPr fontId="3" type="noConversion"/>
  </si>
  <si>
    <t>MONITOR, CENTRAL (환자중앙감시시스템)</t>
  </si>
  <si>
    <t>MONITOR, PATIENT  (환자감시장치)</t>
    <phoneticPr fontId="3" type="noConversion"/>
  </si>
  <si>
    <t>DRYER, STERILE (멸균건조기)</t>
  </si>
  <si>
    <t>MONITOR, PATIENT Portable (이동형 환자감시장치)</t>
  </si>
  <si>
    <t>중환자실 전동침대(비품)</t>
    <phoneticPr fontId="3" type="noConversion"/>
  </si>
  <si>
    <t>환자이동용 응급카트(비품)</t>
    <phoneticPr fontId="3" type="noConversion"/>
  </si>
  <si>
    <t>지속적인공신장기(CRRT) - BAXTER_PRISMAX</t>
  </si>
  <si>
    <t>DEFIBRILLATOR (자동심박소생기)</t>
  </si>
  <si>
    <t xml:space="preserve">INFUSION PUMP, VOLUMETRIC </t>
  </si>
  <si>
    <t>LARYNGOSCOPE, VIDEO (비디오 후두경)</t>
  </si>
  <si>
    <t>MONITOR, CAPNOGRAPH, SpO2, PORTABLE (탄산가스측정기)</t>
    <phoneticPr fontId="3" type="noConversion"/>
  </si>
  <si>
    <t>ULTRASONOGRAPHY SYSTEM, PORTABLE (초음파기)</t>
    <phoneticPr fontId="3" type="noConversion"/>
  </si>
  <si>
    <t>VENTILATOR 인공호흡기 (성인용, 소아용) - C6</t>
  </si>
  <si>
    <t>VENTILATOR, PORTABLE (이동형 인공호흡기) - C1</t>
  </si>
  <si>
    <t>OXIMETER, PULSE</t>
    <phoneticPr fontId="3" type="noConversion"/>
  </si>
  <si>
    <t>MB</t>
    <phoneticPr fontId="3" type="noConversion"/>
  </si>
  <si>
    <t>ELECTRICAL IMPEDANCE TOMOGRAPHY</t>
  </si>
  <si>
    <t>AN</t>
    <phoneticPr fontId="3" type="noConversion"/>
  </si>
  <si>
    <t>ANESTHESIA M/C, W/VENTILATOR</t>
  </si>
  <si>
    <t>UR</t>
    <phoneticPr fontId="3" type="noConversion"/>
  </si>
  <si>
    <t>DR</t>
    <phoneticPr fontId="3" type="noConversion"/>
  </si>
  <si>
    <t>WARMER SYSTEM, INFANT W/ RESUSCITATOR</t>
  </si>
  <si>
    <t>ULTRASONOGRAPHY, ECHO, PORTABLE</t>
  </si>
  <si>
    <t>25년 연구</t>
    <phoneticPr fontId="3" type="noConversion"/>
  </si>
  <si>
    <t>FMC</t>
    <phoneticPr fontId="3" type="noConversion"/>
  </si>
  <si>
    <t>CENTRIFUGE (직업환경의학과용)</t>
    <phoneticPr fontId="10" type="noConversion"/>
  </si>
  <si>
    <t>연구</t>
    <phoneticPr fontId="3" type="noConversion"/>
  </si>
  <si>
    <t>'25.08월 추가</t>
    <phoneticPr fontId="3" type="noConversion"/>
  </si>
  <si>
    <t>(국책사업)
개방형실험실</t>
    <phoneticPr fontId="3" type="noConversion"/>
  </si>
  <si>
    <t>CONFOCAL SCANNER (현미경용 이미지분석시스템)</t>
    <phoneticPr fontId="10" type="noConversion"/>
  </si>
  <si>
    <t>국책</t>
    <phoneticPr fontId="3" type="noConversion"/>
  </si>
  <si>
    <r>
      <t xml:space="preserve">G2B계약
</t>
    </r>
    <r>
      <rPr>
        <sz val="11"/>
        <rFont val="맑은 고딕"/>
        <family val="3"/>
        <charset val="129"/>
        <scheme val="minor"/>
      </rPr>
      <t>(본원부담 100%)</t>
    </r>
    <phoneticPr fontId="3" type="noConversion"/>
  </si>
  <si>
    <t>CAMERA FOR MICROSCOPE, INVERTED</t>
    <phoneticPr fontId="10" type="noConversion"/>
  </si>
  <si>
    <t>DNA gel loading system (비품등록)</t>
    <phoneticPr fontId="10" type="noConversion"/>
  </si>
  <si>
    <t>PCR Thermal cycler</t>
    <phoneticPr fontId="10" type="noConversion"/>
  </si>
  <si>
    <t>ICE MAKER (비품등록)</t>
    <phoneticPr fontId="10" type="noConversion"/>
  </si>
  <si>
    <t>UV/VIS Spectrophotometer</t>
    <phoneticPr fontId="10" type="noConversion"/>
  </si>
  <si>
    <t>Microplate READER</t>
    <phoneticPr fontId="10" type="noConversion"/>
  </si>
  <si>
    <t>MICROTOME, CRYO</t>
    <phoneticPr fontId="10" type="noConversion"/>
  </si>
  <si>
    <t>INDUCTIVE COUPLED PLASMA SPECTROMETER</t>
    <phoneticPr fontId="3" type="noConversion"/>
  </si>
  <si>
    <t>신생아집중치료실
노후장비 교체사업</t>
    <phoneticPr fontId="10" type="noConversion"/>
  </si>
  <si>
    <t>INCUBATOR, INFANT</t>
    <phoneticPr fontId="3" type="noConversion"/>
  </si>
  <si>
    <t>G2B계약
(국비50%, 지방비50%)</t>
    <phoneticPr fontId="3" type="noConversion"/>
  </si>
  <si>
    <t>VENTILATOR, INFANT, HIGH FREQUENCY</t>
    <phoneticPr fontId="3" type="noConversion"/>
  </si>
  <si>
    <t>NASAL HIGH FLOW DELIVERY SYSTEM</t>
  </si>
  <si>
    <t>JAUNDICE METER (황달측정기)</t>
    <phoneticPr fontId="3" type="noConversion"/>
  </si>
  <si>
    <t>IIB</t>
    <phoneticPr fontId="3" type="noConversion"/>
  </si>
  <si>
    <t>PUPILOMETER SYSTEM</t>
  </si>
  <si>
    <t>신규</t>
    <phoneticPr fontId="3" type="noConversion"/>
  </si>
  <si>
    <t>국비지원 미해당
(자비 100%)</t>
    <phoneticPr fontId="3" type="noConversion"/>
  </si>
  <si>
    <t>WARMING UNIT, PATIENT</t>
    <phoneticPr fontId="3" type="noConversion"/>
  </si>
  <si>
    <t>AIR CLEARANCE SYSTEM</t>
    <phoneticPr fontId="3" type="noConversion"/>
  </si>
  <si>
    <t>CUFF PRESSURE CONTROLLER, AUTO</t>
  </si>
  <si>
    <t>임대차</t>
  </si>
  <si>
    <t>임대</t>
    <phoneticPr fontId="3" type="noConversion"/>
  </si>
  <si>
    <t>SCD EXPRESS SYSTEM</t>
  </si>
  <si>
    <t>STETHOSCOPE, DOPPLER, PORTABLE</t>
  </si>
  <si>
    <t>CPR MACHINE, AUTOMATIC</t>
  </si>
  <si>
    <t>E.C.G. ANALYZER, WIFI, BARCODE</t>
  </si>
  <si>
    <t>유휴장비 대체</t>
    <phoneticPr fontId="3" type="noConversion"/>
  </si>
  <si>
    <t>CPB</t>
    <phoneticPr fontId="3" type="noConversion"/>
  </si>
  <si>
    <t>COOLER/HEATER</t>
  </si>
  <si>
    <t>긴급 요청</t>
    <phoneticPr fontId="3" type="noConversion"/>
  </si>
  <si>
    <t>RIGISCAN</t>
  </si>
  <si>
    <t>COAGULATION TIMER, POCT</t>
    <phoneticPr fontId="10" type="noConversion"/>
  </si>
  <si>
    <t>ANALYZER, GLYCOHEMOGLOBIN</t>
  </si>
  <si>
    <t>법무 직계약 조율</t>
    <phoneticPr fontId="3" type="noConversion"/>
  </si>
  <si>
    <t>DO</t>
    <phoneticPr fontId="3" type="noConversion"/>
  </si>
  <si>
    <t>LARYNGOSCOPE, FLEXIBLE, VIDEO</t>
  </si>
  <si>
    <t>AP</t>
    <phoneticPr fontId="3" type="noConversion"/>
  </si>
  <si>
    <t>TISSUE PROCESSOR, AUTO</t>
  </si>
  <si>
    <t>STAINING SYSTEM, FULL AUTOMATED IHC &amp; ISH</t>
  </si>
  <si>
    <t>선조치 완료</t>
    <phoneticPr fontId="3" type="noConversion"/>
  </si>
  <si>
    <t>OR (PS)</t>
    <phoneticPr fontId="3" type="noConversion"/>
  </si>
  <si>
    <t>HYDROSURGERY SYSTEM</t>
  </si>
  <si>
    <t>CFUN</t>
    <phoneticPr fontId="3" type="noConversion"/>
  </si>
  <si>
    <t>DOPPLER, TRANSCRANIAL</t>
  </si>
  <si>
    <t>NIR IMAGING SYSTEM</t>
  </si>
  <si>
    <t>투자여부 재검토 필요 &gt; 6/24 구매필요 확인</t>
    <phoneticPr fontId="3" type="noConversion"/>
  </si>
  <si>
    <r>
      <t xml:space="preserve">* 6/24 진료부원장님 확인 - 이선민 교수 공동사용 신청으로 필요 </t>
    </r>
    <r>
      <rPr>
        <sz val="2"/>
        <rFont val="맑은 고딕"/>
        <family val="3"/>
        <charset val="129"/>
      </rPr>
      <t>GOF007:
6/20 진료부원장님 재검토 요청드림 (신청자 이진욱 교수 사직)
6/24 이선민 교수 공동사용 계획이었으므로 필요 의견 - 사용량 저조시 책임질 수도 있을 만큼 필요의견 (갑상선 수술 시 루틴으로 사용)</t>
    </r>
    <phoneticPr fontId="3" type="noConversion"/>
  </si>
  <si>
    <t>AI SOFTWARE, MAMMO X-RAY</t>
  </si>
  <si>
    <t>전산운영팀 소프트웨어 운영비 지급</t>
    <phoneticPr fontId="3" type="noConversion"/>
  </si>
  <si>
    <t>기존 LUNIT 연장 계약</t>
    <phoneticPr fontId="3" type="noConversion"/>
  </si>
  <si>
    <t>CTC</t>
    <phoneticPr fontId="3" type="noConversion"/>
  </si>
  <si>
    <t>CENTRIFUGE, REFRIGERATED</t>
  </si>
  <si>
    <t>ECMO</t>
    <phoneticPr fontId="3" type="noConversion"/>
  </si>
  <si>
    <t>HEATER UNIT FOR ECMO</t>
  </si>
  <si>
    <t>BLOOD FLOWMETER, ULTRASOUND FOR ECMO</t>
  </si>
  <si>
    <t>진행중</t>
    <phoneticPr fontId="3" type="noConversion"/>
  </si>
  <si>
    <t>OR (OS)</t>
    <phoneticPr fontId="3" type="noConversion"/>
  </si>
  <si>
    <t>ENDOSCOPIC SYSTEM, ARTHROSCOPE, 4K</t>
  </si>
  <si>
    <t>3월 이후</t>
    <phoneticPr fontId="3" type="noConversion"/>
  </si>
  <si>
    <t>임상과 보류, 26 8월 입찰 진행</t>
    <phoneticPr fontId="3" type="noConversion"/>
  </si>
  <si>
    <t>CENTRIFUGE FOR CELLUNIT</t>
  </si>
  <si>
    <t xml:space="preserve">CULTURE SYSTEM, AUTO, BLOOD </t>
  </si>
  <si>
    <t>4UNIT</t>
    <phoneticPr fontId="3" type="noConversion"/>
  </si>
  <si>
    <t>ANALYZER, STOOL OCCULT BLOOD TEST</t>
  </si>
  <si>
    <t xml:space="preserve">ANALYZER, CHEMILLUMINESCENCE IMMUNE </t>
  </si>
  <si>
    <t>P.C.R. SYSTEM, REAL-TIME, RSV &amp; PREP. SYSTEM</t>
  </si>
  <si>
    <t>PREPARATION SYSTEM, RT PCR 별도 발주, 기존 PCR 2대 별도 등록</t>
    <phoneticPr fontId="3" type="noConversion"/>
  </si>
  <si>
    <t>ANALYZER, INFLUENZA VIRUS ANTIGEN</t>
  </si>
  <si>
    <t>추가</t>
    <phoneticPr fontId="3" type="noConversion"/>
  </si>
  <si>
    <t>노후</t>
    <phoneticPr fontId="3" type="noConversion"/>
  </si>
  <si>
    <t>EXTRA CORPOREAL MEMBRANE OXYGENATION (ECMO)</t>
    <phoneticPr fontId="10" type="noConversion"/>
  </si>
  <si>
    <t>PICU</t>
    <phoneticPr fontId="10" type="noConversion"/>
  </si>
  <si>
    <t>PUPILOMETER SYSTEM</t>
    <phoneticPr fontId="10" type="noConversion"/>
  </si>
  <si>
    <t>MB</t>
    <phoneticPr fontId="10" type="noConversion"/>
  </si>
  <si>
    <t>OXIMETER, PULSE</t>
    <phoneticPr fontId="10" type="noConversion"/>
  </si>
  <si>
    <t>MA</t>
  </si>
  <si>
    <t>CUFF PRESSURE CONTROLLER, AUTO</t>
    <phoneticPr fontId="10" type="noConversion"/>
  </si>
  <si>
    <t>MB</t>
  </si>
  <si>
    <t>9E</t>
    <phoneticPr fontId="10" type="noConversion"/>
  </si>
  <si>
    <t>기존 보유장비 이관 완료</t>
    <phoneticPr fontId="3" type="noConversion"/>
  </si>
  <si>
    <t>노후장비 이관, 신규 장비 도입 후 기존 장비 백업 보관 예정</t>
    <phoneticPr fontId="3" type="noConversion"/>
  </si>
  <si>
    <t>10W</t>
    <phoneticPr fontId="3" type="noConversion"/>
  </si>
  <si>
    <t>MONITOR, PATIENT, W/WIFI</t>
    <phoneticPr fontId="10" type="noConversion"/>
  </si>
  <si>
    <t>ANALYZER, BODY COMPOSITION</t>
    <phoneticPr fontId="10" type="noConversion"/>
  </si>
  <si>
    <t>MONITOR, NMT</t>
    <phoneticPr fontId="10" type="noConversion"/>
  </si>
  <si>
    <t xml:space="preserve">OXIMETER, PULSE, SPCO, SPO2, RADICAL 7 </t>
    <phoneticPr fontId="10" type="noConversion"/>
  </si>
  <si>
    <t>TELESCOPE, CYSTO, 1.9MM 30도, 17.9CM</t>
    <phoneticPr fontId="10" type="noConversion"/>
  </si>
  <si>
    <t>TELESCOPE, OPERATING CYSTO, 2.7MM 12도, 15CM</t>
    <phoneticPr fontId="10" type="noConversion"/>
  </si>
  <si>
    <t>PUMP, IRRIGATION</t>
    <phoneticPr fontId="10" type="noConversion"/>
  </si>
  <si>
    <t>TELESCOPE, 4MM 30도, RESECTO W/ TCR ACC SET</t>
    <phoneticPr fontId="10" type="noConversion"/>
  </si>
  <si>
    <t>PD</t>
    <phoneticPr fontId="3" type="noConversion"/>
  </si>
  <si>
    <t xml:space="preserve">ANALYZER, BODY COMPOSITION </t>
    <phoneticPr fontId="10" type="noConversion"/>
  </si>
  <si>
    <t>ELECTRO SURGICAL UNIT, BIPOLAR</t>
    <phoneticPr fontId="10" type="noConversion"/>
  </si>
  <si>
    <t>EMC</t>
    <phoneticPr fontId="3" type="noConversion"/>
  </si>
  <si>
    <t>SHAVER HANDPIECE</t>
    <phoneticPr fontId="10" type="noConversion"/>
  </si>
  <si>
    <t>ANALYZER, SOUND</t>
    <phoneticPr fontId="10" type="noConversion"/>
  </si>
  <si>
    <t>E.C.G. ANALYZER</t>
    <phoneticPr fontId="10" type="noConversion"/>
  </si>
  <si>
    <t>CM</t>
    <phoneticPr fontId="3" type="noConversion"/>
  </si>
  <si>
    <t>MONITOR, PATIENT</t>
    <phoneticPr fontId="10" type="noConversion"/>
  </si>
  <si>
    <t>보류</t>
    <phoneticPr fontId="3" type="noConversion"/>
  </si>
  <si>
    <t>LIGHT, SURGICAL, GENERAL, LED</t>
    <phoneticPr fontId="3" type="noConversion"/>
  </si>
  <si>
    <t>공사 연계</t>
    <phoneticPr fontId="3" type="noConversion"/>
  </si>
  <si>
    <t>2026년 이월</t>
    <phoneticPr fontId="3" type="noConversion"/>
  </si>
  <si>
    <t>ELECTRO SURGICAL UNIT</t>
    <phoneticPr fontId="10" type="noConversion"/>
  </si>
  <si>
    <t>SCRUB STATION</t>
    <phoneticPr fontId="3" type="noConversion"/>
  </si>
  <si>
    <t>OG</t>
    <phoneticPr fontId="3" type="noConversion"/>
  </si>
  <si>
    <t>ULTRASONOGRAPHY, OB/GYN</t>
  </si>
  <si>
    <t>사용량 검토 후 보류</t>
    <phoneticPr fontId="3" type="noConversion"/>
  </si>
  <si>
    <t>OG 김지연 교수 12/1 출근, 12/3 진료부원장님 컨펌 후 진행키로 함, 중급기기로 2대 요청-투심에 논의, OG 의견 조율 필요함 전달</t>
    <phoneticPr fontId="3" type="noConversion"/>
  </si>
  <si>
    <t>취소</t>
    <phoneticPr fontId="3" type="noConversion"/>
  </si>
  <si>
    <t>RD</t>
    <phoneticPr fontId="3" type="noConversion"/>
  </si>
  <si>
    <t>M.R.I. SYSTEM, 3T, AI UPGRADE</t>
  </si>
  <si>
    <t>검사건수 감소 보류</t>
    <phoneticPr fontId="3" type="noConversion"/>
  </si>
  <si>
    <t>26/03월 현재 견적가 4.5억 증가, 추후 필요시 재신청</t>
    <phoneticPr fontId="3" type="noConversion"/>
  </si>
  <si>
    <t>OR (CS)</t>
    <phoneticPr fontId="3" type="noConversion"/>
  </si>
  <si>
    <t>PNEUMATIC, STERNUM SAW, CS</t>
  </si>
  <si>
    <t>배터리타입으로
재신청 예정</t>
    <phoneticPr fontId="3" type="noConversion"/>
  </si>
  <si>
    <t>MICROTOME, CRYO</t>
  </si>
  <si>
    <t>개방형실험실 국책으로 변경</t>
    <phoneticPr fontId="3" type="noConversion"/>
  </si>
  <si>
    <t>25년 정책</t>
    <phoneticPr fontId="3" type="noConversion"/>
  </si>
  <si>
    <t>PMSC</t>
    <phoneticPr fontId="10" type="noConversion"/>
  </si>
  <si>
    <t>신테카 장비 및 기자재 인수</t>
    <phoneticPr fontId="10" type="noConversion"/>
  </si>
  <si>
    <t>정책</t>
    <phoneticPr fontId="10" type="noConversion"/>
  </si>
  <si>
    <t>-</t>
    <phoneticPr fontId="3" type="noConversion"/>
  </si>
  <si>
    <t>CCV</t>
    <phoneticPr fontId="10" type="noConversion"/>
  </si>
  <si>
    <t>파라스타 펄스장 절제술</t>
    <phoneticPr fontId="10" type="noConversion"/>
  </si>
  <si>
    <t>펄스셀렉트 펄스장 절제술</t>
    <phoneticPr fontId="10" type="noConversion"/>
  </si>
  <si>
    <t>임대료</t>
    <phoneticPr fontId="3" type="noConversion"/>
  </si>
  <si>
    <t>66만원/월, 2년간</t>
    <phoneticPr fontId="3" type="noConversion"/>
  </si>
  <si>
    <t>로봇수술센터</t>
    <phoneticPr fontId="10" type="noConversion"/>
  </si>
  <si>
    <t>da Vinci SP Surgical System</t>
    <phoneticPr fontId="10" type="noConversion"/>
  </si>
  <si>
    <t>2,427,839,040 상당 매월 40,463,984 60개월</t>
    <phoneticPr fontId="3" type="noConversion"/>
  </si>
  <si>
    <t>SP도입 제반 장비 등 공사비 포함</t>
    <phoneticPr fontId="10" type="noConversion"/>
  </si>
  <si>
    <t>Monitor, ESU, TABLE, CO2 &amp; irrigator / Video recorder</t>
    <phoneticPr fontId="3" type="noConversion"/>
  </si>
  <si>
    <t>ION Endoluminal System</t>
    <phoneticPr fontId="10" type="noConversion"/>
  </si>
  <si>
    <t>ION 도입 제반 장비 등</t>
    <phoneticPr fontId="10" type="noConversion"/>
  </si>
  <si>
    <t>REBUS, C-arm, TABLE, Surgical monitor 납품완료</t>
    <phoneticPr fontId="3" type="noConversion"/>
  </si>
  <si>
    <t>Endoscopic System, EGD
내시경시스템</t>
    <phoneticPr fontId="10" type="noConversion"/>
  </si>
  <si>
    <t>Patient Monitor
환자감시장치</t>
    <phoneticPr fontId="10" type="noConversion"/>
  </si>
  <si>
    <t>Argon Plasma Coagulation</t>
    <phoneticPr fontId="10" type="noConversion"/>
  </si>
  <si>
    <t>26 정기</t>
  </si>
  <si>
    <t>CCV</t>
  </si>
  <si>
    <t>ANGIOGRAPHY SYSTEM, CARDIAC</t>
  </si>
  <si>
    <t>기존 임대중이던 Abbott 초음파 인수 포함</t>
    <phoneticPr fontId="3" type="noConversion"/>
  </si>
  <si>
    <t>초음파 별도 발주완료(5천만원-6/1)</t>
    <phoneticPr fontId="3" type="noConversion"/>
  </si>
  <si>
    <t>안정수</t>
    <phoneticPr fontId="10" type="noConversion"/>
  </si>
  <si>
    <t>260422 자재팀 입찰스펙전달</t>
    <phoneticPr fontId="10" type="noConversion"/>
  </si>
  <si>
    <t>10월</t>
    <phoneticPr fontId="10" type="noConversion"/>
  </si>
  <si>
    <t>RO</t>
  </si>
  <si>
    <t>IMAGE GUIDED RADIATION THERAPY</t>
  </si>
  <si>
    <t>김성훈</t>
    <phoneticPr fontId="10" type="noConversion"/>
  </si>
  <si>
    <t>260605 입찰스펙 전달완료</t>
    <phoneticPr fontId="3" type="noConversion"/>
  </si>
  <si>
    <t>AP</t>
  </si>
  <si>
    <t>DIGITAL PATHOLOGY SOLUTION</t>
  </si>
  <si>
    <t>전산운영팀 주관, Scanner 의공</t>
    <phoneticPr fontId="3" type="noConversion"/>
  </si>
  <si>
    <t>김상우</t>
    <phoneticPr fontId="10" type="noConversion"/>
  </si>
  <si>
    <t>5월</t>
    <phoneticPr fontId="10" type="noConversion"/>
  </si>
  <si>
    <t>NC</t>
  </si>
  <si>
    <t>INCUBATOR, INFANT, TRANSPORT</t>
  </si>
  <si>
    <t>26 어린이공공 기능강화</t>
    <phoneticPr fontId="3" type="noConversion"/>
  </si>
  <si>
    <t>INFUSION PUMP, VOLUMETRIC</t>
  </si>
  <si>
    <t>6월</t>
    <phoneticPr fontId="10" type="noConversion"/>
  </si>
  <si>
    <t>PICU</t>
  </si>
  <si>
    <t>VENTILATOR, PORTABLE</t>
  </si>
  <si>
    <t>260522 입찰스펙 전달완료</t>
    <phoneticPr fontId="3" type="noConversion"/>
  </si>
  <si>
    <t>ULTRASOUND TRANSDUCER</t>
  </si>
  <si>
    <t>6월/수의</t>
    <phoneticPr fontId="10" type="noConversion"/>
  </si>
  <si>
    <t>VENTILATOR, NAVA</t>
  </si>
  <si>
    <t>8W</t>
  </si>
  <si>
    <t>MONITOR, PATIENT</t>
  </si>
  <si>
    <t>6월/반복,수의</t>
    <phoneticPr fontId="10" type="noConversion"/>
  </si>
  <si>
    <t>MONITOR, CAPNOGRAPH, SPO2, PORTABLE</t>
  </si>
  <si>
    <t>EGD</t>
  </si>
  <si>
    <t>GASTROSCOPE, NASAL, ELECTRONIC</t>
  </si>
  <si>
    <t>이병밀</t>
    <phoneticPr fontId="10" type="noConversion"/>
  </si>
  <si>
    <t>OR (EY)</t>
  </si>
  <si>
    <t>ENDOSCOPIC SYSTEM</t>
  </si>
  <si>
    <t>RM</t>
  </si>
  <si>
    <t>MOTOR-DRIVEN EXERCISE CYCLE</t>
  </si>
  <si>
    <t>안영재</t>
    <phoneticPr fontId="10" type="noConversion"/>
  </si>
  <si>
    <t>EB / SICU</t>
  </si>
  <si>
    <t>OXIMETER, PULSE</t>
  </si>
  <si>
    <t>노후/신규</t>
  </si>
  <si>
    <t>변원봉</t>
    <phoneticPr fontId="10" type="noConversion"/>
  </si>
  <si>
    <t>4월/반복,수의</t>
    <phoneticPr fontId="10" type="noConversion"/>
  </si>
  <si>
    <t>12W,E</t>
  </si>
  <si>
    <t>SCALE, BED, SLINGSCALE</t>
  </si>
  <si>
    <t>최승헌(김상우)</t>
    <phoneticPr fontId="10" type="noConversion"/>
  </si>
  <si>
    <t>5월/반복,수의</t>
    <phoneticPr fontId="10" type="noConversion"/>
  </si>
  <si>
    <t>CP</t>
  </si>
  <si>
    <t>PLASMA THAWING SYSTEM</t>
  </si>
  <si>
    <t>4월</t>
    <phoneticPr fontId="10" type="noConversion"/>
  </si>
  <si>
    <t>RRT</t>
  </si>
  <si>
    <t>LARYNGOSCOPE, VIDEO, DISPOSABLE BLADE</t>
  </si>
  <si>
    <t>이병밀(안정수)</t>
    <phoneticPr fontId="10" type="noConversion"/>
  </si>
  <si>
    <t>DEFIBRILLATOR, BIPHASIC</t>
  </si>
  <si>
    <t>BTC</t>
  </si>
  <si>
    <t xml:space="preserve">GAMMA DETECTION SYSTEM </t>
  </si>
  <si>
    <t>260407 자재팀 입찰규격 전달</t>
    <phoneticPr fontId="10" type="noConversion"/>
  </si>
  <si>
    <t>진행예정</t>
    <phoneticPr fontId="3" type="noConversion"/>
  </si>
  <si>
    <t>ME</t>
  </si>
  <si>
    <t>INFUSION PUMP ANALYZER</t>
  </si>
  <si>
    <t>최승헌(안정수)</t>
    <phoneticPr fontId="10" type="noConversion"/>
  </si>
  <si>
    <t>검토필요</t>
    <phoneticPr fontId="3" type="noConversion"/>
  </si>
  <si>
    <t>EN</t>
  </si>
  <si>
    <t>ANALYZER, NO, EXHALED</t>
  </si>
  <si>
    <t>보류사유 확인 필요</t>
    <phoneticPr fontId="10" type="noConversion"/>
  </si>
  <si>
    <t>ANALYZER, PLATELET DRUG RESPONSE</t>
  </si>
  <si>
    <t>6월/입찰</t>
    <phoneticPr fontId="10" type="noConversion"/>
  </si>
  <si>
    <t>DT</t>
  </si>
  <si>
    <t>IMPLANT SURGICAL UNIT</t>
  </si>
  <si>
    <t>최승헌</t>
    <phoneticPr fontId="10" type="noConversion"/>
  </si>
  <si>
    <t>4월/수의</t>
    <phoneticPr fontId="10" type="noConversion"/>
  </si>
  <si>
    <t>TRACTION SYSTEM</t>
  </si>
  <si>
    <t>NM</t>
  </si>
  <si>
    <t>COUNTER, GAMMA</t>
  </si>
  <si>
    <t>METER, WEIGHT &amp; HEIGHT, AUTO</t>
  </si>
  <si>
    <t>HP</t>
  </si>
  <si>
    <t>TONOMETER, PNEUMATIC, NON-CONTACT</t>
  </si>
  <si>
    <t>SD</t>
  </si>
  <si>
    <t xml:space="preserve">WASHER &amp; DRY MACHINE, CART, AUTO  </t>
  </si>
  <si>
    <t>구조검토후</t>
    <phoneticPr fontId="10" type="noConversion"/>
  </si>
  <si>
    <t>10W,E</t>
  </si>
  <si>
    <t>10W</t>
  </si>
  <si>
    <t>AIR CLEARANCE SYSTEM</t>
  </si>
  <si>
    <t>OR (UR)</t>
  </si>
  <si>
    <t>DIRECT PLACEMENT STIRRUPS</t>
  </si>
  <si>
    <t>CYSTOSCOPE, VIDEO, FLEXIBLE</t>
  </si>
  <si>
    <t>REZUM SYSTEM</t>
  </si>
  <si>
    <t>LASER UNIT, HOLMIUM</t>
  </si>
  <si>
    <t>CHOLANIOSCOPY SYSTEM, DIGITAL</t>
  </si>
  <si>
    <t>260710 자재팀 입찰스펙전달</t>
    <phoneticPr fontId="10" type="noConversion"/>
  </si>
  <si>
    <t>HEPATIC FIBROSIS DIAGNOSTIC SYSTEM</t>
  </si>
  <si>
    <t>ENDOSCOPIC SYSTEM, EGD</t>
  </si>
  <si>
    <t>AN</t>
  </si>
  <si>
    <t>INFUSION PUMP, SYRINGE, TCI</t>
  </si>
  <si>
    <t>4월/반복,수의
4/23 진행요청함</t>
    <phoneticPr fontId="10" type="noConversion"/>
  </si>
  <si>
    <t>ANESTHESIA M/C</t>
  </si>
  <si>
    <t>8월/반복,입찰</t>
    <phoneticPr fontId="10" type="noConversion"/>
  </si>
  <si>
    <t>WARMING UNIT, PATIENT</t>
  </si>
  <si>
    <t>EMERGENCY BYPASS SYSTEM (ECMO)</t>
  </si>
  <si>
    <t>신모델 출시로 금액 상승</t>
    <phoneticPr fontId="3" type="noConversion"/>
  </si>
  <si>
    <t>기존승인 115,000천원, 26.1차 증액 승인 2,500천원</t>
    <phoneticPr fontId="3" type="noConversion"/>
  </si>
  <si>
    <t>EY</t>
  </si>
  <si>
    <t>REFRACTO &amp; KERATOMETER, AUTO</t>
  </si>
  <si>
    <t>LASER UNIT, OPHTH., PASCAL</t>
  </si>
  <si>
    <t>ULTRASONOGRAPHY SYSTEM, MAMMOGRAPHY</t>
  </si>
  <si>
    <t>최승헌/수익성을 위해 빨리??</t>
    <phoneticPr fontId="10" type="noConversion"/>
  </si>
  <si>
    <t>9월</t>
    <phoneticPr fontId="10" type="noConversion"/>
  </si>
  <si>
    <t>EMC</t>
  </si>
  <si>
    <t>TONOMETER, HANDHELD</t>
  </si>
  <si>
    <t>CCU / SICU</t>
  </si>
  <si>
    <t>VENTILATOR</t>
  </si>
  <si>
    <t>노후,폐품</t>
  </si>
  <si>
    <t>EA / EB</t>
  </si>
  <si>
    <t>260324 자재팀 입찰스펙전달</t>
    <phoneticPr fontId="10" type="noConversion"/>
  </si>
  <si>
    <t>VENTILATOR, PORTABLE FOR MRI</t>
  </si>
  <si>
    <t xml:space="preserve">ANALYZER, BLOOD COAGULATION  </t>
  </si>
  <si>
    <t>간호본부(통합간호팀)_서9</t>
  </si>
  <si>
    <t>180~</t>
  </si>
  <si>
    <t>임대</t>
  </si>
  <si>
    <t>간호본부 필요수량 파악 : 199대</t>
    <phoneticPr fontId="3" type="noConversion"/>
  </si>
  <si>
    <t>P.C.R. SYSTEM, REAL-TIME &amp; PREP. SYSTEM</t>
  </si>
  <si>
    <t>추출기, PCR 별도 발주</t>
    <phoneticPr fontId="3" type="noConversion"/>
  </si>
  <si>
    <t>STAINING SYSTEM, FULL AUTOMATED</t>
  </si>
  <si>
    <t>P.C.R. SYSTEM, REAL-TIME, RSV</t>
    <phoneticPr fontId="3" type="noConversion"/>
  </si>
  <si>
    <t>2026NF004</t>
    <phoneticPr fontId="3" type="noConversion"/>
  </si>
  <si>
    <t>EGD(6), CM(1), HP(4), OR(1)</t>
    <phoneticPr fontId="10" type="noConversion"/>
  </si>
  <si>
    <t>WASHER, ENDOSCOPIC</t>
  </si>
  <si>
    <t>OR (EN)</t>
  </si>
  <si>
    <t>ELECTRO SURGICAL UNIT, PLASMA</t>
  </si>
  <si>
    <t>ANALYZER, CHEMISTRY, ISE</t>
  </si>
  <si>
    <t>ANALYZER CHEMISTRY</t>
  </si>
  <si>
    <t>7월</t>
    <phoneticPr fontId="10" type="noConversion"/>
  </si>
  <si>
    <t>ANALYZER, ELISA, AUTOMATED</t>
  </si>
  <si>
    <t>25년 승인분과 같이 진행</t>
    <phoneticPr fontId="10" type="noConversion"/>
  </si>
  <si>
    <t>OS</t>
  </si>
  <si>
    <t>WEARABLE ROBOT, ANGEL SUIT</t>
  </si>
  <si>
    <t>8월</t>
    <phoneticPr fontId="10" type="noConversion"/>
  </si>
  <si>
    <t>25 1차</t>
    <phoneticPr fontId="10" type="noConversion"/>
  </si>
  <si>
    <t>OR</t>
  </si>
  <si>
    <t>MONITOR, SURGICAL</t>
  </si>
  <si>
    <t>OR (OS)</t>
  </si>
  <si>
    <t>ELECTRO SURGICAL UNIT, WEREWOLF+</t>
  </si>
  <si>
    <t>CHROMOSOME IMAGE ANALYSIS SYSTEM UPGRADE</t>
  </si>
  <si>
    <t>5월/수의</t>
    <phoneticPr fontId="10" type="noConversion"/>
  </si>
  <si>
    <t>QUANTITATIVE BRAIN IMAGING ANALYSIS SOFTWARE</t>
  </si>
  <si>
    <t>PC</t>
  </si>
  <si>
    <t>MONITOR, VITAL SIGN</t>
  </si>
  <si>
    <t>병동에 Patient moitor 구입 후 교체 지급</t>
    <phoneticPr fontId="3" type="noConversion"/>
  </si>
  <si>
    <t>4대 신청하였으나 저가형으로 17대 구입, 타과 신청 재배치</t>
  </si>
  <si>
    <t>OR (CS)</t>
  </si>
  <si>
    <t>ELECTRIC, STERNUM SAW, CS</t>
  </si>
  <si>
    <t>3월</t>
    <phoneticPr fontId="10" type="noConversion"/>
  </si>
  <si>
    <t>RH</t>
  </si>
  <si>
    <t>ULTRASONOGRAPHY</t>
  </si>
  <si>
    <t>기존 Probe 추가 신청에서 저가형 본체로 신청</t>
    <phoneticPr fontId="3" type="noConversion"/>
  </si>
  <si>
    <t>FREEZER, DEEP</t>
  </si>
  <si>
    <t>부서 운영계획 검토 후 진행 확정</t>
    <phoneticPr fontId="3" type="noConversion"/>
  </si>
  <si>
    <t>260629 입찰스펙 전달완료</t>
    <phoneticPr fontId="3" type="noConversion"/>
  </si>
  <si>
    <t>NR</t>
  </si>
  <si>
    <t>뇌영상분석 AI SOLUTION</t>
  </si>
  <si>
    <t>AI 사업 승인시 부가세만 지급</t>
    <phoneticPr fontId="3" type="noConversion"/>
  </si>
  <si>
    <t>전산운영팀</t>
    <phoneticPr fontId="3" type="noConversion"/>
  </si>
  <si>
    <t>승인시/수의
7/13 사업탈락으로 취소</t>
    <phoneticPr fontId="10" type="noConversion"/>
  </si>
  <si>
    <t>X-RAY UNIT, C-ARM, DIGITAL</t>
  </si>
  <si>
    <t>운영위 추가</t>
    <phoneticPr fontId="3" type="noConversion"/>
  </si>
  <si>
    <t>THERAPY UNIT, RF</t>
  </si>
  <si>
    <t>ULTRASONOGRAPHY, ECHO</t>
  </si>
  <si>
    <t>NC</t>
    <phoneticPr fontId="3" type="noConversion"/>
  </si>
  <si>
    <t>OS (OR)</t>
    <phoneticPr fontId="3" type="noConversion"/>
  </si>
  <si>
    <t>SAW, SAGITTAL, MICRO, PNEUMATIC</t>
    <phoneticPr fontId="3" type="noConversion"/>
  </si>
  <si>
    <t>폐품</t>
    <phoneticPr fontId="3" type="noConversion"/>
  </si>
  <si>
    <t>SUCTION UNIT, PORTABLE</t>
    <phoneticPr fontId="3" type="noConversion"/>
  </si>
  <si>
    <t>REFRIGERATOR, PHARMACY</t>
    <phoneticPr fontId="3" type="noConversion"/>
  </si>
  <si>
    <t>26 1차</t>
  </si>
  <si>
    <t>CPR MACHINE, AUTOMATIC</t>
    <phoneticPr fontId="3" type="noConversion"/>
  </si>
  <si>
    <t>26 어린이공공 기능강화 추가</t>
    <phoneticPr fontId="3" type="noConversion"/>
  </si>
  <si>
    <t>NASAL HIGH FLOW DELIVERY SYSTEM</t>
    <phoneticPr fontId="3" type="noConversion"/>
  </si>
  <si>
    <t>정맥혈관 네비게이터[VEIN VIEWER]</t>
  </si>
  <si>
    <t>커프압력조절장치(CUFF PRESSURE CONTROLLER)</t>
  </si>
  <si>
    <t>BLADDER SCANNER, ULTRASOUND, PORTABLE</t>
    <phoneticPr fontId="3" type="noConversion"/>
  </si>
  <si>
    <t>MONITOR, CAPNOGRAPH, SPO2, PORTABLE</t>
    <phoneticPr fontId="3" type="noConversion"/>
  </si>
  <si>
    <t>신생아 청력 스크린 장비(AUDIOSCREENER ABR SYSTEM)</t>
    <phoneticPr fontId="3" type="noConversion"/>
  </si>
  <si>
    <t>26 연구</t>
    <phoneticPr fontId="3" type="noConversion"/>
  </si>
  <si>
    <t>MONITOR, PATIENT (연구용)</t>
    <phoneticPr fontId="3" type="noConversion"/>
  </si>
  <si>
    <t>FMC(OS)</t>
    <phoneticPr fontId="3" type="noConversion"/>
  </si>
  <si>
    <t>X-RAY UNIT, HANDHELD, REMEDI</t>
    <phoneticPr fontId="3" type="noConversion"/>
  </si>
  <si>
    <t>월 200만원*10개월</t>
    <phoneticPr fontId="10" type="noConversion"/>
  </si>
  <si>
    <t>ION 장비용 긴급 추가</t>
    <phoneticPr fontId="3" type="noConversion"/>
  </si>
  <si>
    <t>OR (CM)</t>
    <phoneticPr fontId="3" type="noConversion"/>
  </si>
  <si>
    <t>SURGERY UNIT, CRYO</t>
    <phoneticPr fontId="3" type="noConversion"/>
  </si>
  <si>
    <t>진행예정</t>
    <phoneticPr fontId="10" type="noConversion"/>
  </si>
  <si>
    <t>IIA,B</t>
    <phoneticPr fontId="3" type="noConversion"/>
  </si>
  <si>
    <t>PUMP, ENTERAL NUTRITION, FEEDING</t>
    <phoneticPr fontId="3" type="noConversion"/>
  </si>
  <si>
    <t>MA</t>
    <phoneticPr fontId="3" type="noConversion"/>
  </si>
  <si>
    <t>CUFF PRESSURE CONTROLLER, AUTO</t>
    <phoneticPr fontId="3" type="noConversion"/>
  </si>
  <si>
    <t>11E</t>
    <phoneticPr fontId="3" type="noConversion"/>
  </si>
  <si>
    <t>INFUSION PUMP, VOLUMETRIC</t>
    <phoneticPr fontId="3" type="noConversion"/>
  </si>
  <si>
    <t>16E</t>
    <phoneticPr fontId="3" type="noConversion"/>
  </si>
  <si>
    <t>VENTILATOR, HOME</t>
    <phoneticPr fontId="3" type="noConversion"/>
  </si>
  <si>
    <t>11W</t>
    <phoneticPr fontId="3" type="noConversion"/>
  </si>
  <si>
    <t>VIDEO LARYNGEAL MASK AIRWAY</t>
    <phoneticPr fontId="3" type="noConversion"/>
  </si>
  <si>
    <t>TELESCOPE, 4mm 30도, RESECTO</t>
    <phoneticPr fontId="3" type="noConversion"/>
  </si>
  <si>
    <t>TABLE, EXAMINING, OB/GY</t>
    <phoneticPr fontId="3" type="noConversion"/>
  </si>
  <si>
    <t>9W</t>
    <phoneticPr fontId="3" type="noConversion"/>
  </si>
  <si>
    <t>STETHOSCOPE, DOPPLER, PORTABLE</t>
    <phoneticPr fontId="3" type="noConversion"/>
  </si>
  <si>
    <t>MONITOR, AMBULATORY BLOOD PRESSURE</t>
    <phoneticPr fontId="3" type="noConversion"/>
  </si>
  <si>
    <t>SHAVER HANDPIECE</t>
    <phoneticPr fontId="3" type="noConversion"/>
  </si>
  <si>
    <t>PNEUMATIC, WIRE DRIVER, OS</t>
    <phoneticPr fontId="3" type="noConversion"/>
  </si>
  <si>
    <t>SHOULDER, LEG POSITIONER SYSTEM</t>
    <phoneticPr fontId="3" type="noConversion"/>
  </si>
  <si>
    <t>OSCILLATING SAW</t>
    <phoneticPr fontId="3" type="noConversion"/>
  </si>
  <si>
    <t>NOISE DOSIMETER SYSTEM</t>
    <phoneticPr fontId="3" type="noConversion"/>
  </si>
  <si>
    <t>EY</t>
    <phoneticPr fontId="3" type="noConversion"/>
  </si>
  <si>
    <t>TONOMETER, REBOUND, HANDHELD</t>
    <phoneticPr fontId="3" type="noConversion"/>
  </si>
  <si>
    <t>IIA</t>
    <phoneticPr fontId="3" type="noConversion"/>
  </si>
  <si>
    <t>3D MR/ULTRASOUND FUSION GUIDED PROSTATE BIOPSY SYSTEM</t>
    <phoneticPr fontId="3" type="noConversion"/>
  </si>
  <si>
    <t>ROBOT SURGERY SYSTEM,
CUVIS-SPINE</t>
    <phoneticPr fontId="3" type="noConversion"/>
  </si>
  <si>
    <t>서비스로봇실증사업 선정 본원 부담 2.66억원</t>
    <phoneticPr fontId="10" type="noConversion"/>
  </si>
  <si>
    <t>26 서면</t>
    <phoneticPr fontId="10" type="noConversion"/>
  </si>
  <si>
    <t>ENDOSCOPIC VIDEO SYSTEM, EGD</t>
    <phoneticPr fontId="3" type="noConversion"/>
  </si>
  <si>
    <t>건진센터 내시경실 확장</t>
    <phoneticPr fontId="10" type="noConversion"/>
  </si>
  <si>
    <t>GASTROSCOPE, ELECTRONIC</t>
    <phoneticPr fontId="3" type="noConversion"/>
  </si>
  <si>
    <t>COLONOSCOPE, ELECTRONIC</t>
    <phoneticPr fontId="3" type="noConversion"/>
  </si>
  <si>
    <t>MOITOR, PATIENT</t>
    <phoneticPr fontId="3" type="noConversion"/>
  </si>
  <si>
    <t>CO2 REGULATION UNIT</t>
    <phoneticPr fontId="3" type="noConversion"/>
  </si>
  <si>
    <t>WASHER, ENDOSCOPIC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</si>
</sst>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&quot;/&quot;d;@"/>
    <numFmt numFmtId="177" formatCode="#,##0_);[Red]\(#,##0\)"/>
    <numFmt numFmtId="178" formatCode="#,##0,"/>
  </numFmts>
  <fonts count="52">
    <font>
      <sz val="11"/>
      <color theme="1"/>
      <name val="돋움"/>
      <family val="3"/>
      <charset val="129"/>
    </font>
    <font>
      <sz val="11"/>
      <color theme="1"/>
      <name val="돋움"/>
      <family val="3"/>
      <charset val="129"/>
    </font>
    <font>
      <b/>
      <u/>
      <sz val="22"/>
      <name val="맑은 고딕"/>
      <family val="3"/>
      <charset val="129"/>
    </font>
    <font>
      <sz val="8"/>
      <name val="돋움"/>
      <family val="3"/>
      <charset val="129"/>
    </font>
    <font>
      <sz val="14"/>
      <name val="맑은 고딕"/>
      <family val="3"/>
      <charset val="129"/>
    </font>
    <font>
      <sz val="20"/>
      <name val="맑은 고딕"/>
      <family val="3"/>
      <charset val="129"/>
    </font>
    <font>
      <sz val="12"/>
      <name val="맑은 고딕"/>
      <family val="3"/>
      <charset val="129"/>
    </font>
    <font>
      <b/>
      <sz val="12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b/>
      <sz val="10"/>
      <name val="굴림체"/>
      <family val="3"/>
      <charset val="129"/>
    </font>
    <font>
      <sz val="8"/>
      <name val="맑은 고딕"/>
      <family val="2"/>
      <charset val="129"/>
      <scheme val="minor"/>
    </font>
    <font>
      <sz val="13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  <scheme val="major"/>
    </font>
    <font>
      <sz val="11"/>
      <color theme="9" tint="-0.499984740745262"/>
      <name val="맑은 고딕"/>
      <family val="3"/>
      <charset val="129"/>
    </font>
    <font>
      <sz val="13"/>
      <color theme="9" tint="-0.499984740745262"/>
      <name val="맑은 고딕"/>
      <family val="3"/>
      <charset val="129"/>
    </font>
    <font>
      <sz val="13"/>
      <color rgb="FF0000FF"/>
      <name val="맑은 고딕"/>
      <family val="3"/>
      <charset val="129"/>
    </font>
    <font>
      <sz val="11"/>
      <color rgb="FF0000FF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3"/>
      <color rgb="FFFF0000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b/>
      <sz val="11"/>
      <name val="맑은 고딕"/>
      <family val="3"/>
      <charset val="129"/>
    </font>
    <font>
      <sz val="12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</font>
    <font>
      <b/>
      <sz val="11"/>
      <color rgb="FF0000FF"/>
      <name val="맑은 고딕"/>
      <family val="3"/>
      <charset val="129"/>
      <scheme val="major"/>
    </font>
    <font>
      <b/>
      <sz val="12"/>
      <name val="맑은 고딕"/>
      <family val="3"/>
      <charset val="129"/>
      <scheme val="minor"/>
    </font>
    <font>
      <sz val="2"/>
      <name val="맑은 고딕"/>
      <family val="3"/>
      <charset val="129"/>
    </font>
    <font>
      <b/>
      <sz val="11"/>
      <color rgb="FFFF0000"/>
      <name val="맑은 고딕"/>
      <family val="3"/>
      <charset val="129"/>
      <scheme val="major"/>
    </font>
    <font>
      <sz val="7"/>
      <name val="맑은 고딕"/>
      <family val="3"/>
      <charset val="129"/>
    </font>
    <font>
      <strike/>
      <sz val="12"/>
      <name val="맑은 고딕"/>
      <family val="3"/>
      <charset val="129"/>
    </font>
    <font>
      <strike/>
      <sz val="11"/>
      <name val="맑은 고딕"/>
      <family val="3"/>
      <charset val="129"/>
    </font>
    <font>
      <b/>
      <strike/>
      <sz val="11"/>
      <color rgb="FF0000FF"/>
      <name val="맑은 고딕"/>
      <family val="3"/>
      <charset val="129"/>
      <scheme val="major"/>
    </font>
    <font>
      <sz val="9"/>
      <name val="맑은 고딕"/>
      <family val="3"/>
      <charset val="129"/>
    </font>
    <font>
      <sz val="10"/>
      <name val="굴림"/>
      <family val="3"/>
      <charset val="129"/>
    </font>
    <font>
      <sz val="10"/>
      <name val="굴림체"/>
      <family val="3"/>
      <charset val="129"/>
    </font>
    <font>
      <b/>
      <sz val="11"/>
      <color rgb="FF0070C0"/>
      <name val="맑은 고딕"/>
      <family val="3"/>
      <charset val="129"/>
    </font>
    <font>
      <b/>
      <sz val="11"/>
      <color theme="6" tint="-0.249977111117893"/>
      <name val="맑은 고딕"/>
      <family val="3"/>
      <charset val="129"/>
    </font>
    <font>
      <sz val="11"/>
      <color rgb="FF00B050"/>
      <name val="맑은 고딕"/>
      <family val="3"/>
      <charset val="129"/>
    </font>
    <font>
      <sz val="11"/>
      <color rgb="FF0070C0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1"/>
      <color rgb="FF0070C0"/>
      <name val="맑은 고딕"/>
      <family val="3"/>
      <charset val="129"/>
    </font>
    <font>
      <strike/>
      <sz val="12"/>
      <name val="맑은 고딕"/>
      <family val="3"/>
      <charset val="129"/>
      <scheme val="minor"/>
    </font>
    <font>
      <b/>
      <strike/>
      <sz val="11"/>
      <name val="맑은 고딕"/>
      <family val="3"/>
      <charset val="129"/>
    </font>
    <font>
      <b/>
      <strike/>
      <sz val="11"/>
      <color theme="1"/>
      <name val="맑은 고딕"/>
      <family val="3"/>
      <charset val="129"/>
      <scheme val="major"/>
    </font>
    <font>
      <strike/>
      <sz val="10"/>
      <name val="굴림"/>
      <family val="3"/>
      <charset val="129"/>
    </font>
    <font>
      <b/>
      <sz val="11"/>
      <color rgb="FF0070C0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1">
    <xf numFmtId="0" fontId="0" fillId="0" borderId="0" xfId="0">
      <alignment vertical="center"/>
    </xf>
    <xf numFmtId="0" fontId="4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177" fontId="9" fillId="3" borderId="1" xfId="0" applyNumberFormat="1" applyFont="1" applyFill="1" applyBorder="1" applyAlignment="1">
      <alignment horizontal="center" vertical="center" wrapText="1"/>
    </xf>
    <xf numFmtId="0" fontId="11" fillId="0" borderId="0" xfId="0" applyFont="1">
      <alignment vertical="center"/>
    </xf>
    <xf numFmtId="0" fontId="6" fillId="4" borderId="1" xfId="0" applyFont="1" applyFill="1" applyBorder="1" applyAlignment="1">
      <alignment horizontal="center" vertical="center" wrapText="1" shrinkToFit="1"/>
    </xf>
    <xf numFmtId="49" fontId="12" fillId="4" borderId="1" xfId="0" applyNumberFormat="1" applyFont="1" applyFill="1" applyBorder="1" applyAlignment="1">
      <alignment horizontal="center" vertical="center" wrapText="1"/>
    </xf>
    <xf numFmtId="49" fontId="12" fillId="4" borderId="1" xfId="0" applyNumberFormat="1" applyFont="1" applyFill="1" applyBorder="1" applyAlignment="1">
      <alignment vertical="center" wrapText="1"/>
    </xf>
    <xf numFmtId="0" fontId="12" fillId="4" borderId="1" xfId="0" applyFont="1" applyFill="1" applyBorder="1" applyAlignment="1">
      <alignment horizontal="center" vertical="center" wrapText="1" shrinkToFit="1"/>
    </xf>
    <xf numFmtId="0" fontId="12" fillId="4" borderId="1" xfId="0" applyFont="1" applyFill="1" applyBorder="1" applyAlignment="1">
      <alignment horizontal="center" vertical="center" shrinkToFit="1"/>
    </xf>
    <xf numFmtId="178" fontId="12" fillId="4" borderId="1" xfId="0" applyNumberFormat="1" applyFont="1" applyFill="1" applyBorder="1" applyAlignment="1">
      <alignment horizontal="center" vertical="center" wrapText="1" shrinkToFit="1"/>
    </xf>
    <xf numFmtId="178" fontId="13" fillId="4" borderId="1" xfId="0" applyNumberFormat="1" applyFont="1" applyFill="1" applyBorder="1" applyAlignment="1">
      <alignment horizontal="right" vertical="center" shrinkToFit="1"/>
    </xf>
    <xf numFmtId="14" fontId="14" fillId="4" borderId="1" xfId="0" applyNumberFormat="1" applyFont="1" applyFill="1" applyBorder="1" applyAlignment="1">
      <alignment horizontal="center" vertical="center" wrapText="1" shrinkToFit="1"/>
    </xf>
    <xf numFmtId="0" fontId="15" fillId="4" borderId="1" xfId="0" applyFont="1" applyFill="1" applyBorder="1" applyAlignment="1">
      <alignment vertical="center" wrapText="1" shrinkToFit="1"/>
    </xf>
    <xf numFmtId="0" fontId="15" fillId="4" borderId="0" xfId="0" applyFont="1" applyFill="1" applyAlignment="1">
      <alignment vertical="center" wrapText="1" shrinkToFit="1"/>
    </xf>
    <xf numFmtId="0" fontId="16" fillId="4" borderId="0" xfId="0" applyFont="1" applyFill="1" applyAlignment="1">
      <alignment vertical="center" wrapText="1" shrinkToFit="1"/>
    </xf>
    <xf numFmtId="0" fontId="12" fillId="4" borderId="1" xfId="0" applyFont="1" applyFill="1" applyBorder="1" applyAlignment="1">
      <alignment vertical="center" wrapText="1" shrinkToFit="1"/>
    </xf>
    <xf numFmtId="0" fontId="12" fillId="4" borderId="0" xfId="0" applyFont="1" applyFill="1" applyAlignment="1">
      <alignment vertical="center" wrapText="1" shrinkToFit="1"/>
    </xf>
    <xf numFmtId="178" fontId="12" fillId="4" borderId="1" xfId="0" applyNumberFormat="1" applyFont="1" applyFill="1" applyBorder="1" applyAlignment="1">
      <alignment horizontal="right" vertical="center" wrapText="1" shrinkToFit="1"/>
    </xf>
    <xf numFmtId="178" fontId="13" fillId="4" borderId="1" xfId="0" applyNumberFormat="1" applyFont="1" applyFill="1" applyBorder="1" applyAlignment="1">
      <alignment horizontal="right" vertical="center" wrapText="1" shrinkToFit="1"/>
    </xf>
    <xf numFmtId="0" fontId="6" fillId="4" borderId="0" xfId="0" applyFont="1" applyFill="1" applyAlignment="1">
      <alignment horizontal="right" vertical="center"/>
    </xf>
    <xf numFmtId="0" fontId="11" fillId="4" borderId="0" xfId="0" applyFont="1" applyFill="1" applyAlignment="1">
      <alignment vertical="center" wrapText="1" shrinkToFit="1"/>
    </xf>
    <xf numFmtId="0" fontId="12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/>
    </xf>
    <xf numFmtId="178" fontId="12" fillId="4" borderId="1" xfId="0" applyNumberFormat="1" applyFont="1" applyFill="1" applyBorder="1" applyAlignment="1">
      <alignment horizontal="right" vertical="center"/>
    </xf>
    <xf numFmtId="178" fontId="13" fillId="4" borderId="1" xfId="0" applyNumberFormat="1" applyFont="1" applyFill="1" applyBorder="1" applyAlignment="1">
      <alignment horizontal="right" vertical="center"/>
    </xf>
    <xf numFmtId="0" fontId="12" fillId="4" borderId="1" xfId="0" applyFont="1" applyFill="1" applyBorder="1" applyAlignment="1">
      <alignment vertical="center" shrinkToFit="1"/>
    </xf>
    <xf numFmtId="0" fontId="12" fillId="4" borderId="0" xfId="0" applyFont="1" applyFill="1" applyAlignment="1">
      <alignment vertical="center" shrinkToFit="1"/>
    </xf>
    <xf numFmtId="0" fontId="11" fillId="4" borderId="0" xfId="0" applyFont="1" applyFill="1" applyAlignment="1">
      <alignment vertical="center" shrinkToFit="1"/>
    </xf>
    <xf numFmtId="49" fontId="12" fillId="5" borderId="1" xfId="0" applyNumberFormat="1" applyFont="1" applyFill="1" applyBorder="1" applyAlignment="1">
      <alignment horizontal="center" vertical="center" wrapText="1"/>
    </xf>
    <xf numFmtId="49" fontId="12" fillId="5" borderId="1" xfId="0" applyNumberFormat="1" applyFont="1" applyFill="1" applyBorder="1" applyAlignment="1">
      <alignment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/>
    </xf>
    <xf numFmtId="178" fontId="12" fillId="5" borderId="1" xfId="0" applyNumberFormat="1" applyFont="1" applyFill="1" applyBorder="1" applyAlignment="1">
      <alignment horizontal="right" vertical="center"/>
    </xf>
    <xf numFmtId="0" fontId="15" fillId="4" borderId="1" xfId="0" applyFont="1" applyFill="1" applyBorder="1" applyAlignment="1">
      <alignment vertical="center" shrinkToFit="1"/>
    </xf>
    <xf numFmtId="0" fontId="15" fillId="4" borderId="0" xfId="0" applyFont="1" applyFill="1" applyAlignment="1">
      <alignment vertical="center" shrinkToFit="1"/>
    </xf>
    <xf numFmtId="0" fontId="16" fillId="4" borderId="0" xfId="0" applyFont="1" applyFill="1" applyAlignment="1">
      <alignment vertical="center" shrinkToFit="1"/>
    </xf>
    <xf numFmtId="0" fontId="1" fillId="0" borderId="1" xfId="0" applyFont="1" applyBorder="1">
      <alignment vertical="center"/>
    </xf>
    <xf numFmtId="0" fontId="17" fillId="4" borderId="0" xfId="0" applyFont="1" applyFill="1" applyAlignment="1">
      <alignment vertical="center" shrinkToFit="1"/>
    </xf>
    <xf numFmtId="0" fontId="1" fillId="0" borderId="0" xfId="0" applyFont="1">
      <alignment vertical="center"/>
    </xf>
    <xf numFmtId="0" fontId="18" fillId="4" borderId="1" xfId="0" applyFont="1" applyFill="1" applyBorder="1" applyAlignment="1">
      <alignment vertical="center" shrinkToFit="1"/>
    </xf>
    <xf numFmtId="0" fontId="18" fillId="4" borderId="0" xfId="0" applyFont="1" applyFill="1" applyAlignment="1">
      <alignment vertical="center" shrinkToFit="1"/>
    </xf>
    <xf numFmtId="49" fontId="12" fillId="0" borderId="1" xfId="0" applyNumberFormat="1" applyFont="1" applyBorder="1" applyAlignment="1">
      <alignment horizontal="center" vertical="center" wrapText="1"/>
    </xf>
    <xf numFmtId="49" fontId="12" fillId="0" borderId="1" xfId="0" applyNumberFormat="1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178" fontId="12" fillId="0" borderId="1" xfId="0" applyNumberFormat="1" applyFont="1" applyBorder="1" applyAlignment="1">
      <alignment horizontal="right" vertical="center"/>
    </xf>
    <xf numFmtId="14" fontId="14" fillId="0" borderId="1" xfId="0" applyNumberFormat="1" applyFont="1" applyBorder="1" applyAlignment="1">
      <alignment horizontal="center" vertical="center" wrapText="1" shrinkToFit="1"/>
    </xf>
    <xf numFmtId="0" fontId="12" fillId="0" borderId="1" xfId="0" applyFont="1" applyBorder="1" applyAlignment="1">
      <alignment horizontal="center" vertical="center" wrapText="1" shrinkToFit="1"/>
    </xf>
    <xf numFmtId="0" fontId="19" fillId="4" borderId="1" xfId="0" applyFont="1" applyFill="1" applyBorder="1" applyAlignment="1">
      <alignment vertical="center" wrapText="1" shrinkToFit="1"/>
    </xf>
    <xf numFmtId="0" fontId="20" fillId="4" borderId="0" xfId="0" applyFont="1" applyFill="1" applyAlignment="1">
      <alignment vertical="center" shrinkToFit="1"/>
    </xf>
    <xf numFmtId="0" fontId="19" fillId="4" borderId="0" xfId="0" applyFont="1" applyFill="1" applyAlignment="1">
      <alignment vertical="center" shrinkToFit="1"/>
    </xf>
    <xf numFmtId="0" fontId="19" fillId="4" borderId="1" xfId="0" applyFont="1" applyFill="1" applyBorder="1" applyAlignment="1">
      <alignment vertical="center" shrinkToFit="1"/>
    </xf>
    <xf numFmtId="0" fontId="19" fillId="4" borderId="0" xfId="0" applyFont="1" applyFill="1" applyAlignment="1">
      <alignment vertical="center" wrapText="1" shrinkToFit="1"/>
    </xf>
    <xf numFmtId="0" fontId="21" fillId="6" borderId="1" xfId="0" applyFont="1" applyFill="1" applyBorder="1" applyAlignment="1">
      <alignment horizontal="center" vertical="center" wrapText="1"/>
    </xf>
    <xf numFmtId="0" fontId="22" fillId="6" borderId="1" xfId="0" applyFont="1" applyFill="1" applyBorder="1" applyAlignment="1">
      <alignment vertical="center" wrapText="1"/>
    </xf>
    <xf numFmtId="0" fontId="12" fillId="6" borderId="1" xfId="0" applyFont="1" applyFill="1" applyBorder="1" applyAlignment="1">
      <alignment horizontal="center" vertical="center" wrapText="1" shrinkToFit="1"/>
    </xf>
    <xf numFmtId="0" fontId="12" fillId="6" borderId="1" xfId="0" applyFont="1" applyFill="1" applyBorder="1" applyAlignment="1" applyProtection="1">
      <alignment horizontal="center" vertical="center"/>
      <protection locked="0"/>
    </xf>
    <xf numFmtId="178" fontId="22" fillId="6" borderId="1" xfId="0" applyNumberFormat="1" applyFont="1" applyFill="1" applyBorder="1" applyAlignment="1">
      <alignment horizontal="right" vertical="center" wrapText="1"/>
    </xf>
    <xf numFmtId="0" fontId="6" fillId="7" borderId="1" xfId="0" applyFont="1" applyFill="1" applyBorder="1" applyAlignment="1">
      <alignment horizontal="center" vertical="center" wrapText="1" shrinkToFit="1"/>
    </xf>
    <xf numFmtId="0" fontId="18" fillId="4" borderId="1" xfId="0" applyFont="1" applyFill="1" applyBorder="1" applyAlignment="1">
      <alignment vertical="center" wrapText="1" shrinkToFit="1"/>
    </xf>
    <xf numFmtId="0" fontId="18" fillId="4" borderId="0" xfId="0" applyFont="1" applyFill="1" applyAlignment="1">
      <alignment vertical="center" wrapText="1" shrinkToFit="1"/>
    </xf>
    <xf numFmtId="0" fontId="21" fillId="9" borderId="1" xfId="0" applyFont="1" applyFill="1" applyBorder="1" applyAlignment="1">
      <alignment horizontal="center" vertical="center" wrapText="1"/>
    </xf>
    <xf numFmtId="0" fontId="23" fillId="9" borderId="1" xfId="0" applyFont="1" applyFill="1" applyBorder="1" applyAlignment="1">
      <alignment vertical="center" wrapText="1" readingOrder="1"/>
    </xf>
    <xf numFmtId="0" fontId="12" fillId="9" borderId="1" xfId="0" applyFont="1" applyFill="1" applyBorder="1" applyAlignment="1">
      <alignment horizontal="center" vertical="center" wrapText="1" shrinkToFit="1"/>
    </xf>
    <xf numFmtId="0" fontId="23" fillId="9" borderId="1" xfId="0" applyFont="1" applyFill="1" applyBorder="1" applyAlignment="1">
      <alignment horizontal="center" vertical="center" wrapText="1" readingOrder="1"/>
    </xf>
    <xf numFmtId="178" fontId="21" fillId="9" borderId="1" xfId="0" applyNumberFormat="1" applyFont="1" applyFill="1" applyBorder="1">
      <alignment vertical="center"/>
    </xf>
    <xf numFmtId="0" fontId="17" fillId="4" borderId="0" xfId="0" applyFont="1" applyFill="1" applyAlignment="1">
      <alignment vertical="center" wrapText="1" shrinkToFit="1"/>
    </xf>
    <xf numFmtId="178" fontId="12" fillId="4" borderId="1" xfId="0" applyNumberFormat="1" applyFont="1" applyFill="1" applyBorder="1" applyAlignment="1">
      <alignment horizontal="right" vertical="center" shrinkToFit="1"/>
    </xf>
    <xf numFmtId="178" fontId="24" fillId="4" borderId="1" xfId="0" applyNumberFormat="1" applyFont="1" applyFill="1" applyBorder="1" applyAlignment="1">
      <alignment horizontal="right" vertical="center"/>
    </xf>
    <xf numFmtId="0" fontId="12" fillId="4" borderId="1" xfId="0" quotePrefix="1" applyFont="1" applyFill="1" applyBorder="1" applyAlignment="1">
      <alignment horizontal="center" vertical="center" shrinkToFit="1"/>
    </xf>
    <xf numFmtId="49" fontId="12" fillId="6" borderId="1" xfId="0" applyNumberFormat="1" applyFont="1" applyFill="1" applyBorder="1" applyAlignment="1">
      <alignment horizontal="center" vertical="center" wrapText="1"/>
    </xf>
    <xf numFmtId="49" fontId="12" fillId="6" borderId="1" xfId="0" applyNumberFormat="1" applyFont="1" applyFill="1" applyBorder="1" applyAlignment="1">
      <alignment vertical="center" wrapText="1"/>
    </xf>
    <xf numFmtId="0" fontId="12" fillId="6" borderId="1" xfId="0" applyFont="1" applyFill="1" applyBorder="1" applyAlignment="1">
      <alignment horizontal="center" vertical="center" shrinkToFit="1"/>
    </xf>
    <xf numFmtId="178" fontId="12" fillId="6" borderId="1" xfId="0" applyNumberFormat="1" applyFont="1" applyFill="1" applyBorder="1" applyAlignment="1">
      <alignment horizontal="right" vertical="center" shrinkToFit="1"/>
    </xf>
    <xf numFmtId="178" fontId="12" fillId="6" borderId="1" xfId="0" applyNumberFormat="1" applyFont="1" applyFill="1" applyBorder="1" applyAlignment="1">
      <alignment horizontal="center" vertical="center" wrapText="1" shrinkToFit="1"/>
    </xf>
    <xf numFmtId="0" fontId="25" fillId="5" borderId="1" xfId="0" applyFont="1" applyFill="1" applyBorder="1" applyAlignment="1">
      <alignment horizontal="center" vertical="center" wrapText="1"/>
    </xf>
    <xf numFmtId="0" fontId="25" fillId="5" borderId="1" xfId="0" applyFont="1" applyFill="1" applyBorder="1" applyAlignment="1">
      <alignment vertical="center" wrapText="1"/>
    </xf>
    <xf numFmtId="0" fontId="26" fillId="5" borderId="1" xfId="0" applyFont="1" applyFill="1" applyBorder="1" applyAlignment="1">
      <alignment horizontal="center" vertical="center" wrapText="1" readingOrder="1"/>
    </xf>
    <xf numFmtId="178" fontId="25" fillId="5" borderId="1" xfId="0" applyNumberFormat="1" applyFont="1" applyFill="1" applyBorder="1">
      <alignment vertical="center"/>
    </xf>
    <xf numFmtId="14" fontId="27" fillId="5" borderId="1" xfId="0" applyNumberFormat="1" applyFont="1" applyFill="1" applyBorder="1" applyAlignment="1">
      <alignment horizontal="center" vertical="center" wrapText="1" shrinkToFit="1"/>
    </xf>
    <xf numFmtId="0" fontId="21" fillId="5" borderId="1" xfId="0" applyFont="1" applyFill="1" applyBorder="1" applyAlignment="1">
      <alignment horizontal="center" vertical="center" wrapText="1"/>
    </xf>
    <xf numFmtId="178" fontId="28" fillId="5" borderId="1" xfId="0" applyNumberFormat="1" applyFont="1" applyFill="1" applyBorder="1">
      <alignment vertical="center"/>
    </xf>
    <xf numFmtId="0" fontId="18" fillId="9" borderId="1" xfId="0" applyFont="1" applyFill="1" applyBorder="1" applyAlignment="1">
      <alignment horizontal="center" vertical="center" wrapText="1" shrinkToFit="1"/>
    </xf>
    <xf numFmtId="178" fontId="28" fillId="9" borderId="1" xfId="0" applyNumberFormat="1" applyFont="1" applyFill="1" applyBorder="1">
      <alignment vertical="center"/>
    </xf>
    <xf numFmtId="14" fontId="27" fillId="7" borderId="1" xfId="0" applyNumberFormat="1" applyFont="1" applyFill="1" applyBorder="1" applyAlignment="1">
      <alignment horizontal="center" vertical="center" wrapText="1" shrinkToFit="1"/>
    </xf>
    <xf numFmtId="49" fontId="12" fillId="9" borderId="1" xfId="0" applyNumberFormat="1" applyFont="1" applyFill="1" applyBorder="1" applyAlignment="1">
      <alignment vertical="center" wrapText="1"/>
    </xf>
    <xf numFmtId="0" fontId="12" fillId="9" borderId="1" xfId="0" applyFont="1" applyFill="1" applyBorder="1" applyAlignment="1">
      <alignment horizontal="center" vertical="center" shrinkToFit="1"/>
    </xf>
    <xf numFmtId="178" fontId="12" fillId="9" borderId="1" xfId="0" applyNumberFormat="1" applyFont="1" applyFill="1" applyBorder="1" applyAlignment="1">
      <alignment horizontal="right" vertical="center" shrinkToFit="1"/>
    </xf>
    <xf numFmtId="178" fontId="12" fillId="9" borderId="1" xfId="0" applyNumberFormat="1" applyFont="1" applyFill="1" applyBorder="1" applyAlignment="1">
      <alignment horizontal="center" vertical="center" wrapText="1" shrinkToFit="1"/>
    </xf>
    <xf numFmtId="178" fontId="28" fillId="7" borderId="1" xfId="0" applyNumberFormat="1" applyFont="1" applyFill="1" applyBorder="1" applyAlignment="1">
      <alignment horizontal="center" vertical="center"/>
    </xf>
    <xf numFmtId="14" fontId="27" fillId="0" borderId="1" xfId="0" applyNumberFormat="1" applyFont="1" applyBorder="1" applyAlignment="1">
      <alignment horizontal="center" vertical="center" wrapText="1" shrinkToFit="1"/>
    </xf>
    <xf numFmtId="14" fontId="27" fillId="4" borderId="1" xfId="0" applyNumberFormat="1" applyFont="1" applyFill="1" applyBorder="1" applyAlignment="1">
      <alignment horizontal="center" vertical="center" wrapText="1" shrinkToFit="1"/>
    </xf>
    <xf numFmtId="0" fontId="25" fillId="5" borderId="1" xfId="0" applyFont="1" applyFill="1" applyBorder="1" applyAlignment="1">
      <alignment horizontal="center" vertical="center"/>
    </xf>
    <xf numFmtId="0" fontId="25" fillId="10" borderId="1" xfId="0" applyFont="1" applyFill="1" applyBorder="1" applyAlignment="1">
      <alignment vertical="center" wrapText="1"/>
    </xf>
    <xf numFmtId="0" fontId="26" fillId="0" borderId="1" xfId="0" applyFont="1" applyBorder="1" applyAlignment="1">
      <alignment horizontal="center" vertical="center" wrapText="1" readingOrder="1"/>
    </xf>
    <xf numFmtId="178" fontId="25" fillId="0" borderId="1" xfId="0" applyNumberFormat="1" applyFont="1" applyBorder="1">
      <alignment vertical="center"/>
    </xf>
    <xf numFmtId="178" fontId="12" fillId="4" borderId="1" xfId="0" applyNumberFormat="1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 wrapText="1" shrinkToFit="1"/>
    </xf>
    <xf numFmtId="0" fontId="12" fillId="10" borderId="1" xfId="0" applyFont="1" applyFill="1" applyBorder="1" applyAlignment="1">
      <alignment horizontal="center" vertical="center" wrapText="1" shrinkToFit="1"/>
    </xf>
    <xf numFmtId="0" fontId="12" fillId="4" borderId="1" xfId="0" applyFont="1" applyFill="1" applyBorder="1" applyAlignment="1">
      <alignment vertical="center" wrapText="1"/>
    </xf>
    <xf numFmtId="0" fontId="12" fillId="4" borderId="0" xfId="0" applyFont="1" applyFill="1">
      <alignment vertical="center"/>
    </xf>
    <xf numFmtId="0" fontId="25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vertical="center" wrapText="1"/>
    </xf>
    <xf numFmtId="178" fontId="19" fillId="4" borderId="1" xfId="0" applyNumberFormat="1" applyFont="1" applyFill="1" applyBorder="1" applyAlignment="1">
      <alignment horizontal="center" vertical="center" shrinkToFit="1"/>
    </xf>
    <xf numFmtId="14" fontId="30" fillId="4" borderId="1" xfId="0" applyNumberFormat="1" applyFont="1" applyFill="1" applyBorder="1" applyAlignment="1">
      <alignment horizontal="center" vertical="center" wrapText="1" shrinkToFit="1"/>
    </xf>
    <xf numFmtId="0" fontId="12" fillId="8" borderId="1" xfId="0" applyFont="1" applyFill="1" applyBorder="1" applyAlignment="1">
      <alignment vertical="center" wrapText="1" shrinkToFit="1"/>
    </xf>
    <xf numFmtId="0" fontId="20" fillId="4" borderId="0" xfId="0" applyFont="1" applyFill="1" applyAlignment="1">
      <alignment vertical="center" wrapText="1" shrinkToFit="1"/>
    </xf>
    <xf numFmtId="178" fontId="12" fillId="11" borderId="1" xfId="0" applyNumberFormat="1" applyFont="1" applyFill="1" applyBorder="1" applyAlignment="1">
      <alignment horizontal="center" vertical="center" wrapText="1" shrinkToFit="1"/>
    </xf>
    <xf numFmtId="0" fontId="31" fillId="4" borderId="1" xfId="0" applyFont="1" applyFill="1" applyBorder="1" applyAlignment="1">
      <alignment vertical="center" wrapText="1"/>
    </xf>
    <xf numFmtId="0" fontId="32" fillId="4" borderId="1" xfId="0" applyFont="1" applyFill="1" applyBorder="1" applyAlignment="1">
      <alignment horizontal="center" vertical="center" wrapText="1" shrinkToFit="1"/>
    </xf>
    <xf numFmtId="49" fontId="33" fillId="4" borderId="1" xfId="0" applyNumberFormat="1" applyFont="1" applyFill="1" applyBorder="1" applyAlignment="1">
      <alignment horizontal="center" vertical="center" wrapText="1"/>
    </xf>
    <xf numFmtId="49" fontId="33" fillId="4" borderId="1" xfId="0" applyNumberFormat="1" applyFont="1" applyFill="1" applyBorder="1" applyAlignment="1">
      <alignment vertical="center" wrapText="1"/>
    </xf>
    <xf numFmtId="0" fontId="33" fillId="4" borderId="1" xfId="0" applyFont="1" applyFill="1" applyBorder="1" applyAlignment="1">
      <alignment horizontal="center" vertical="center" wrapText="1" shrinkToFit="1"/>
    </xf>
    <xf numFmtId="0" fontId="33" fillId="4" borderId="1" xfId="0" applyFont="1" applyFill="1" applyBorder="1" applyAlignment="1">
      <alignment horizontal="center" vertical="center" shrinkToFit="1"/>
    </xf>
    <xf numFmtId="178" fontId="33" fillId="4" borderId="1" xfId="0" applyNumberFormat="1" applyFont="1" applyFill="1" applyBorder="1" applyAlignment="1">
      <alignment horizontal="right" vertical="center" shrinkToFit="1"/>
    </xf>
    <xf numFmtId="49" fontId="33" fillId="0" borderId="1" xfId="0" applyNumberFormat="1" applyFont="1" applyBorder="1" applyAlignment="1">
      <alignment horizontal="center" vertical="center" wrapText="1"/>
    </xf>
    <xf numFmtId="49" fontId="33" fillId="0" borderId="1" xfId="0" applyNumberFormat="1" applyFont="1" applyBorder="1" applyAlignment="1">
      <alignment vertical="center" wrapText="1"/>
    </xf>
    <xf numFmtId="0" fontId="33" fillId="0" borderId="1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/>
    </xf>
    <xf numFmtId="178" fontId="33" fillId="0" borderId="1" xfId="0" applyNumberFormat="1" applyFont="1" applyBorder="1" applyAlignment="1">
      <alignment horizontal="right" vertical="center"/>
    </xf>
    <xf numFmtId="14" fontId="34" fillId="4" borderId="1" xfId="0" applyNumberFormat="1" applyFont="1" applyFill="1" applyBorder="1" applyAlignment="1">
      <alignment horizontal="center" vertical="center" wrapText="1" shrinkToFit="1"/>
    </xf>
    <xf numFmtId="0" fontId="6" fillId="12" borderId="1" xfId="0" applyFont="1" applyFill="1" applyBorder="1" applyAlignment="1">
      <alignment horizontal="center" vertical="center" wrapText="1" shrinkToFit="1"/>
    </xf>
    <xf numFmtId="49" fontId="6" fillId="12" borderId="1" xfId="0" applyNumberFormat="1" applyFont="1" applyFill="1" applyBorder="1" applyAlignment="1">
      <alignment horizontal="center" vertical="center" wrapText="1"/>
    </xf>
    <xf numFmtId="49" fontId="6" fillId="12" borderId="1" xfId="0" applyNumberFormat="1" applyFont="1" applyFill="1" applyBorder="1" applyAlignment="1">
      <alignment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/>
    </xf>
    <xf numFmtId="178" fontId="6" fillId="12" borderId="1" xfId="0" applyNumberFormat="1" applyFont="1" applyFill="1" applyBorder="1" applyAlignment="1">
      <alignment horizontal="right" vertical="center"/>
    </xf>
    <xf numFmtId="0" fontId="6" fillId="5" borderId="1" xfId="0" applyFont="1" applyFill="1" applyBorder="1" applyAlignment="1">
      <alignment horizontal="center" vertical="center" wrapText="1" shrinkToFit="1"/>
    </xf>
    <xf numFmtId="49" fontId="6" fillId="5" borderId="1" xfId="0" applyNumberFormat="1" applyFont="1" applyFill="1" applyBorder="1" applyAlignment="1">
      <alignment horizontal="center" vertical="center" wrapText="1"/>
    </xf>
    <xf numFmtId="49" fontId="6" fillId="5" borderId="1" xfId="0" applyNumberFormat="1" applyFont="1" applyFill="1" applyBorder="1" applyAlignment="1">
      <alignment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178" fontId="6" fillId="5" borderId="1" xfId="0" applyNumberFormat="1" applyFont="1" applyFill="1" applyBorder="1" applyAlignment="1">
      <alignment horizontal="right" vertical="center"/>
    </xf>
    <xf numFmtId="178" fontId="6" fillId="5" borderId="1" xfId="0" applyNumberFormat="1" applyFont="1" applyFill="1" applyBorder="1" applyAlignment="1">
      <alignment horizontal="right" vertical="center" wrapText="1" shrinkToFit="1"/>
    </xf>
    <xf numFmtId="178" fontId="6" fillId="7" borderId="1" xfId="0" applyNumberFormat="1" applyFont="1" applyFill="1" applyBorder="1" applyAlignment="1">
      <alignment horizontal="right" vertical="center" wrapText="1" shrinkToFit="1"/>
    </xf>
    <xf numFmtId="0" fontId="33" fillId="0" borderId="1" xfId="0" applyFont="1" applyBorder="1" applyAlignment="1">
      <alignment vertical="center" wrapText="1"/>
    </xf>
    <xf numFmtId="0" fontId="35" fillId="4" borderId="1" xfId="0" applyFont="1" applyFill="1" applyBorder="1" applyAlignment="1">
      <alignment horizontal="center" vertical="center" wrapText="1" shrinkToFit="1"/>
    </xf>
    <xf numFmtId="38" fontId="36" fillId="4" borderId="1" xfId="0" applyNumberFormat="1" applyFont="1" applyFill="1" applyBorder="1" applyAlignment="1">
      <alignment horizontal="center" vertical="center" wrapText="1"/>
    </xf>
    <xf numFmtId="0" fontId="37" fillId="10" borderId="1" xfId="0" applyFont="1" applyFill="1" applyBorder="1" applyAlignment="1">
      <alignment horizontal="center" vertical="center" wrapText="1"/>
    </xf>
    <xf numFmtId="38" fontId="36" fillId="10" borderId="1" xfId="0" applyNumberFormat="1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wrapText="1" shrinkToFit="1"/>
    </xf>
    <xf numFmtId="0" fontId="12" fillId="0" borderId="1" xfId="0" applyFont="1" applyBorder="1" applyAlignment="1">
      <alignment vertical="center" wrapText="1"/>
    </xf>
    <xf numFmtId="178" fontId="13" fillId="0" borderId="1" xfId="0" applyNumberFormat="1" applyFont="1" applyBorder="1" applyAlignment="1">
      <alignment horizontal="right" vertical="center"/>
    </xf>
    <xf numFmtId="0" fontId="38" fillId="5" borderId="1" xfId="0" applyFont="1" applyFill="1" applyBorder="1" applyAlignment="1">
      <alignment vertical="center" wrapText="1"/>
    </xf>
    <xf numFmtId="0" fontId="39" fillId="5" borderId="1" xfId="0" applyFont="1" applyFill="1" applyBorder="1" applyAlignment="1">
      <alignment vertical="center" wrapText="1"/>
    </xf>
    <xf numFmtId="178" fontId="13" fillId="0" borderId="1" xfId="0" applyNumberFormat="1" applyFont="1" applyBorder="1" applyAlignment="1">
      <alignment horizontal="right" vertical="center" wrapText="1" shrinkToFit="1"/>
    </xf>
    <xf numFmtId="0" fontId="40" fillId="5" borderId="1" xfId="0" applyFont="1" applyFill="1" applyBorder="1" applyAlignment="1">
      <alignment vertical="center" wrapText="1"/>
    </xf>
    <xf numFmtId="0" fontId="21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vertical="center" wrapText="1"/>
    </xf>
    <xf numFmtId="0" fontId="12" fillId="0" borderId="1" xfId="0" applyFont="1" applyBorder="1" applyAlignment="1" applyProtection="1">
      <alignment horizontal="center" vertical="center"/>
      <protection locked="0"/>
    </xf>
    <xf numFmtId="178" fontId="13" fillId="0" borderId="1" xfId="0" applyNumberFormat="1" applyFont="1" applyBorder="1" applyAlignment="1">
      <alignment horizontal="right" vertical="center" shrinkToFit="1"/>
    </xf>
    <xf numFmtId="0" fontId="41" fillId="5" borderId="1" xfId="0" applyFont="1" applyFill="1" applyBorder="1" applyAlignment="1">
      <alignment vertical="center" wrapText="1"/>
    </xf>
    <xf numFmtId="0" fontId="42" fillId="5" borderId="1" xfId="0" applyFont="1" applyFill="1" applyBorder="1" applyAlignment="1">
      <alignment vertical="center" wrapText="1"/>
    </xf>
    <xf numFmtId="0" fontId="43" fillId="5" borderId="1" xfId="0" applyFont="1" applyFill="1" applyBorder="1" applyAlignment="1">
      <alignment vertical="center" wrapText="1"/>
    </xf>
    <xf numFmtId="178" fontId="25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44" fillId="4" borderId="1" xfId="0" applyFont="1" applyFill="1" applyBorder="1" applyAlignment="1">
      <alignment vertical="center" wrapText="1" shrinkToFit="1"/>
    </xf>
    <xf numFmtId="0" fontId="45" fillId="5" borderId="1" xfId="0" applyFont="1" applyFill="1" applyBorder="1" applyAlignment="1">
      <alignment vertical="center" wrapText="1"/>
    </xf>
    <xf numFmtId="0" fontId="23" fillId="0" borderId="1" xfId="0" applyFont="1" applyBorder="1" applyAlignment="1">
      <alignment vertical="center" wrapText="1" readingOrder="1"/>
    </xf>
    <xf numFmtId="0" fontId="23" fillId="0" borderId="1" xfId="0" applyFont="1" applyBorder="1" applyAlignment="1">
      <alignment horizontal="center" vertical="center" wrapText="1" readingOrder="1"/>
    </xf>
    <xf numFmtId="0" fontId="12" fillId="0" borderId="1" xfId="0" applyFont="1" applyBorder="1" applyAlignment="1">
      <alignment horizontal="center" vertical="center" shrinkToFit="1"/>
    </xf>
    <xf numFmtId="178" fontId="24" fillId="0" borderId="1" xfId="0" applyNumberFormat="1" applyFont="1" applyBorder="1" applyAlignment="1">
      <alignment horizontal="right" vertical="center"/>
    </xf>
    <xf numFmtId="178" fontId="12" fillId="0" borderId="1" xfId="0" applyNumberFormat="1" applyFont="1" applyBorder="1" applyAlignment="1">
      <alignment horizontal="center" vertical="center" wrapText="1" shrinkToFit="1"/>
    </xf>
    <xf numFmtId="0" fontId="12" fillId="10" borderId="1" xfId="0" quotePrefix="1" applyFont="1" applyFill="1" applyBorder="1" applyAlignment="1">
      <alignment horizontal="center" vertical="center" shrinkToFit="1"/>
    </xf>
    <xf numFmtId="0" fontId="32" fillId="0" borderId="1" xfId="0" applyFont="1" applyBorder="1" applyAlignment="1">
      <alignment horizontal="center" vertical="center" wrapText="1" shrinkToFit="1"/>
    </xf>
    <xf numFmtId="0" fontId="33" fillId="0" borderId="1" xfId="0" applyFont="1" applyBorder="1" applyAlignment="1">
      <alignment horizontal="center" vertical="center" wrapText="1" shrinkToFit="1"/>
    </xf>
    <xf numFmtId="0" fontId="33" fillId="0" borderId="1" xfId="0" applyFont="1" applyBorder="1" applyAlignment="1">
      <alignment horizontal="center" vertical="center" shrinkToFit="1"/>
    </xf>
    <xf numFmtId="178" fontId="46" fillId="0" borderId="1" xfId="0" applyNumberFormat="1" applyFont="1" applyBorder="1">
      <alignment vertical="center"/>
    </xf>
    <xf numFmtId="178" fontId="47" fillId="0" borderId="1" xfId="0" applyNumberFormat="1" applyFont="1" applyBorder="1" applyAlignment="1">
      <alignment horizontal="right" vertical="center"/>
    </xf>
    <xf numFmtId="14" fontId="48" fillId="0" borderId="1" xfId="0" applyNumberFormat="1" applyFont="1" applyBorder="1" applyAlignment="1">
      <alignment horizontal="center" vertical="center" wrapText="1" shrinkToFit="1"/>
    </xf>
    <xf numFmtId="178" fontId="33" fillId="0" borderId="1" xfId="0" applyNumberFormat="1" applyFont="1" applyBorder="1" applyAlignment="1">
      <alignment horizontal="center" vertical="center" wrapText="1" shrinkToFit="1"/>
    </xf>
    <xf numFmtId="0" fontId="33" fillId="4" borderId="1" xfId="0" quotePrefix="1" applyFont="1" applyFill="1" applyBorder="1" applyAlignment="1">
      <alignment horizontal="center" vertical="center" shrinkToFit="1"/>
    </xf>
    <xf numFmtId="38" fontId="49" fillId="4" borderId="1" xfId="0" applyNumberFormat="1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vertical="center" wrapText="1"/>
    </xf>
    <xf numFmtId="0" fontId="37" fillId="0" borderId="1" xfId="0" applyFont="1" applyBorder="1" applyAlignment="1">
      <alignment horizontal="center" vertical="center" wrapText="1"/>
    </xf>
    <xf numFmtId="0" fontId="50" fillId="5" borderId="1" xfId="0" applyFont="1" applyFill="1" applyBorder="1" applyAlignment="1">
      <alignment vertical="center" wrapText="1"/>
    </xf>
    <xf numFmtId="178" fontId="28" fillId="0" borderId="1" xfId="0" applyNumberFormat="1" applyFont="1" applyBorder="1">
      <alignment vertical="center"/>
    </xf>
    <xf numFmtId="0" fontId="18" fillId="0" borderId="1" xfId="0" applyFont="1" applyBorder="1" applyAlignment="1">
      <alignment horizontal="center" vertical="center" wrapText="1" shrinkToFit="1"/>
    </xf>
    <xf numFmtId="0" fontId="39" fillId="5" borderId="1" xfId="0" applyFont="1" applyFill="1" applyBorder="1" applyAlignment="1">
      <alignment vertical="center" wrapText="1" readingOrder="1"/>
    </xf>
    <xf numFmtId="178" fontId="28" fillId="0" borderId="1" xfId="0" applyNumberFormat="1" applyFont="1" applyBorder="1" applyAlignment="1">
      <alignment horizontal="right" vertical="center"/>
    </xf>
    <xf numFmtId="178" fontId="28" fillId="0" borderId="1" xfId="0" applyNumberFormat="1" applyFont="1" applyBorder="1" applyAlignment="1">
      <alignment horizontal="right" vertical="center" wrapText="1"/>
    </xf>
    <xf numFmtId="0" fontId="5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12" fillId="8" borderId="1" xfId="0" applyFont="1" applyFill="1" applyBorder="1" applyAlignment="1">
      <alignment horizontal="center" vertical="center" wrapText="1" shrinkToFit="1"/>
    </xf>
  </cellXfs>
  <cellStyles count="1">
    <cellStyle name="표준" xfId="0" builtinId="0"/>
  </cellStyles>
  <dxfs count="266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526677</xdr:colOff>
      <xdr:row>4</xdr:row>
      <xdr:rowOff>246530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E412E27-E847-4F28-812E-546FEB6CD451}"/>
            </a:ext>
          </a:extLst>
        </xdr:cNvPr>
        <xdr:cNvSpPr txBox="1"/>
      </xdr:nvSpPr>
      <xdr:spPr>
        <a:xfrm>
          <a:off x="16576302" y="19419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twoCellAnchor>
    <xdr:from>
      <xdr:col>12</xdr:col>
      <xdr:colOff>134470</xdr:colOff>
      <xdr:row>2</xdr:row>
      <xdr:rowOff>268941</xdr:rowOff>
    </xdr:from>
    <xdr:to>
      <xdr:col>21</xdr:col>
      <xdr:colOff>44823</xdr:colOff>
      <xdr:row>6</xdr:row>
      <xdr:rowOff>358588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B251725-0F25-437F-8BC7-CE7DE15CFF94}"/>
            </a:ext>
          </a:extLst>
        </xdr:cNvPr>
        <xdr:cNvSpPr txBox="1"/>
      </xdr:nvSpPr>
      <xdr:spPr>
        <a:xfrm>
          <a:off x="16184095" y="1164291"/>
          <a:ext cx="7044578" cy="16898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※ </a:t>
          </a:r>
          <a:r>
            <a:rPr lang="ko-KR" altLang="en-US" sz="1100"/>
            <a:t>우선 순위 </a:t>
          </a:r>
          <a:r>
            <a:rPr lang="en-US" altLang="ko-KR" sz="1100"/>
            <a:t>: </a:t>
          </a:r>
          <a:r>
            <a:rPr lang="ko-KR" altLang="en-US" sz="1100"/>
            <a:t>기한 지정 </a:t>
          </a:r>
          <a:r>
            <a:rPr lang="en-US" altLang="ko-KR" sz="1100"/>
            <a:t>(</a:t>
          </a:r>
          <a:r>
            <a:rPr lang="ko-KR" altLang="en-US" sz="1100"/>
            <a:t>법적 기준</a:t>
          </a:r>
          <a:r>
            <a:rPr lang="en-US" altLang="ko-KR" sz="1100"/>
            <a:t>) &gt; </a:t>
          </a:r>
          <a:r>
            <a:rPr lang="ko-KR" altLang="en-US" sz="1100"/>
            <a:t>진료차질 </a:t>
          </a:r>
          <a:r>
            <a:rPr lang="en-US" altLang="ko-KR" sz="1100"/>
            <a:t>&gt; </a:t>
          </a:r>
          <a:r>
            <a:rPr lang="ko-KR" altLang="en-US" sz="1100"/>
            <a:t>수익성</a:t>
          </a:r>
          <a:endParaRPr lang="en-US" altLang="ko-KR" sz="1100"/>
        </a:p>
        <a:p>
          <a:r>
            <a:rPr lang="en-US" altLang="ko-KR" sz="1100"/>
            <a:t>※ 2</a:t>
          </a:r>
          <a:r>
            <a:rPr lang="ko-KR" altLang="en-US" sz="1100"/>
            <a:t>천만원이상 계약은 입찰규격준비</a:t>
          </a:r>
          <a:r>
            <a:rPr lang="en-US" altLang="ko-KR" sz="1100"/>
            <a:t>, </a:t>
          </a:r>
          <a:r>
            <a:rPr lang="ko-KR" altLang="en-US" sz="1100"/>
            <a:t>법무검토</a:t>
          </a:r>
          <a:r>
            <a:rPr lang="en-US" altLang="ko-KR" sz="1100"/>
            <a:t>, </a:t>
          </a:r>
          <a:r>
            <a:rPr lang="ko-KR" altLang="en-US" sz="1100"/>
            <a:t>입찰공고</a:t>
          </a:r>
          <a:r>
            <a:rPr lang="en-US" altLang="ko-KR" sz="1100"/>
            <a:t>, </a:t>
          </a:r>
          <a:r>
            <a:rPr lang="ko-KR" altLang="en-US" sz="1100"/>
            <a:t>재공고 등으로 통상 </a:t>
          </a:r>
          <a:r>
            <a:rPr lang="en-US" altLang="ko-KR" sz="1100"/>
            <a:t>40~60</a:t>
          </a:r>
          <a:r>
            <a:rPr lang="ko-KR" altLang="en-US" sz="1100"/>
            <a:t>일 소요</a:t>
          </a:r>
          <a:r>
            <a:rPr lang="en-US" altLang="ko-KR" sz="1100"/>
            <a:t>, </a:t>
          </a:r>
          <a:r>
            <a:rPr lang="ko-KR" altLang="en-US" sz="1100"/>
            <a:t>입고는 계약체결후 통상 </a:t>
          </a:r>
          <a:r>
            <a:rPr lang="en-US" altLang="ko-KR" sz="1100"/>
            <a:t>2~3</a:t>
          </a:r>
          <a:r>
            <a:rPr lang="ko-KR" altLang="en-US" sz="1100"/>
            <a:t>개월 소요 </a:t>
          </a:r>
          <a:r>
            <a:rPr lang="en-US" altLang="ko-KR" sz="1100"/>
            <a:t>(</a:t>
          </a:r>
          <a:r>
            <a:rPr lang="ko-KR" altLang="en-US" sz="1100"/>
            <a:t>총 </a:t>
          </a:r>
          <a:r>
            <a:rPr lang="en-US" altLang="ko-KR" sz="1100"/>
            <a:t>3.5~5</a:t>
          </a:r>
          <a:r>
            <a:rPr lang="ko-KR" altLang="en-US" sz="1100"/>
            <a:t>개월</a:t>
          </a:r>
          <a:r>
            <a:rPr lang="en-US" altLang="ko-KR" sz="1100"/>
            <a:t>)</a:t>
          </a:r>
          <a:br>
            <a:rPr lang="en-US" altLang="ko-KR" sz="1100"/>
          </a:br>
          <a:r>
            <a:rPr lang="en-US" altLang="ko-KR" sz="1100"/>
            <a:t>※ 2</a:t>
          </a:r>
          <a:r>
            <a:rPr lang="ko-KR" altLang="en-US" sz="1100"/>
            <a:t>천만원이하 계약은 법규에 의거</a:t>
          </a:r>
          <a:r>
            <a:rPr lang="en-US" altLang="ko-KR" sz="1100"/>
            <a:t>, </a:t>
          </a:r>
          <a:r>
            <a:rPr lang="ko-KR" altLang="en-US" sz="1100"/>
            <a:t>입찰경쟁 아닌 수의계약 가능으로 통상 </a:t>
          </a:r>
          <a:r>
            <a:rPr lang="en-US" altLang="ko-KR" sz="1100"/>
            <a:t>20~30</a:t>
          </a:r>
          <a:r>
            <a:rPr lang="ko-KR" altLang="en-US" sz="1100"/>
            <a:t>일 소요되며</a:t>
          </a:r>
          <a:r>
            <a:rPr lang="en-US" altLang="ko-KR" sz="1100"/>
            <a:t>, </a:t>
          </a:r>
          <a:r>
            <a:rPr lang="ko-KR" altLang="en-US" sz="1100"/>
            <a:t>입고는 계약체결후 통상 </a:t>
          </a:r>
          <a:r>
            <a:rPr lang="en-US" altLang="ko-KR" sz="1100"/>
            <a:t>1~2</a:t>
          </a:r>
          <a:r>
            <a:rPr lang="ko-KR" altLang="en-US" sz="1100"/>
            <a:t>개월 소요 </a:t>
          </a:r>
          <a:r>
            <a:rPr lang="en-US" altLang="ko-KR" sz="1100"/>
            <a:t>(</a:t>
          </a:r>
          <a:r>
            <a:rPr lang="ko-KR" altLang="en-US" sz="1100"/>
            <a:t>총 </a:t>
          </a:r>
          <a:r>
            <a:rPr lang="en-US" altLang="ko-KR" sz="1100"/>
            <a:t>1.5~3</a:t>
          </a:r>
          <a:r>
            <a:rPr lang="ko-KR" altLang="en-US" sz="1100"/>
            <a:t>개월</a:t>
          </a:r>
          <a:r>
            <a:rPr lang="en-US" altLang="ko-KR" sz="1100"/>
            <a:t>)</a:t>
          </a:r>
        </a:p>
        <a:p>
          <a:r>
            <a:rPr lang="en-US" altLang="ko-KR" sz="1100"/>
            <a:t>※ </a:t>
          </a:r>
          <a:r>
            <a:rPr lang="ko-KR" altLang="en-US" sz="1100"/>
            <a:t>국책사업 진행으로 긴급 도입 필요 장비 외 후순위 진행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D9F1C-A45E-4820-9759-5D2459A4B495}">
  <sheetPr codeName="Sheet4">
    <tabColor indexed="50"/>
    <pageSetUpPr fitToPage="1"/>
  </sheetPr>
  <dimension ref="A1:O274"/>
  <sheetViews>
    <sheetView tabSelected="1" workbookViewId="0">
      <selection sqref="A1:K1"/>
    </sheetView>
  </sheetViews>
  <sheetFormatPr defaultRowHeight="13.5"/>
  <cols>
    <col min="1" max="1" width="10.21875" customWidth="1"/>
    <col min="2" max="2" width="16.44140625" customWidth="1"/>
    <col min="3" max="3" width="11.33203125" customWidth="1"/>
    <col min="4" max="4" width="20.21875" bestFit="1" customWidth="1"/>
    <col min="5" max="5" width="31.88671875" customWidth="1"/>
    <col min="8" max="8" width="12.21875" bestFit="1" customWidth="1"/>
    <col min="9" max="9" width="12.21875" style="188" bestFit="1" customWidth="1"/>
    <col min="10" max="10" width="11.88671875" bestFit="1" customWidth="1"/>
    <col min="11" max="11" width="17.6640625" customWidth="1"/>
    <col min="12" max="12" width="25.33203125" customWidth="1"/>
    <col min="14" max="14" width="12.109375" customWidth="1"/>
  </cols>
  <sheetData>
    <row r="1" spans="1:15" s="2" customFormat="1" ht="31.5" customHeight="1">
      <c r="A1" s="189" t="s">
        <v>0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" t="s">
        <v>1</v>
      </c>
    </row>
    <row r="2" spans="1:15" s="8" customFormat="1" ht="39" customHeight="1">
      <c r="A2" s="3" t="s">
        <v>2</v>
      </c>
      <c r="B2" s="3" t="s">
        <v>3</v>
      </c>
      <c r="C2" s="4" t="s">
        <v>4</v>
      </c>
      <c r="D2" s="4" t="s">
        <v>5</v>
      </c>
      <c r="E2" s="4" t="s">
        <v>6</v>
      </c>
      <c r="F2" s="3" t="s">
        <v>7</v>
      </c>
      <c r="G2" s="4" t="s">
        <v>8</v>
      </c>
      <c r="H2" s="4" t="s">
        <v>9</v>
      </c>
      <c r="I2" s="4" t="s">
        <v>10</v>
      </c>
      <c r="J2" s="5" t="s">
        <v>11</v>
      </c>
      <c r="K2" s="6" t="s">
        <v>12</v>
      </c>
      <c r="L2" s="4" t="s">
        <v>13</v>
      </c>
      <c r="M2" s="7" t="s">
        <v>14</v>
      </c>
      <c r="N2" s="7" t="s">
        <v>15</v>
      </c>
      <c r="O2" s="7" t="s">
        <v>16</v>
      </c>
    </row>
    <row r="3" spans="1:15" s="19" customFormat="1" ht="32.1" customHeight="1">
      <c r="A3" s="9" t="str">
        <f>CONCATENATE("25-",ROW()-ROW($A$2))</f>
        <v>25-1</v>
      </c>
      <c r="B3" s="9" t="s">
        <v>17</v>
      </c>
      <c r="C3" s="9" t="s">
        <v>18</v>
      </c>
      <c r="D3" s="10" t="s">
        <v>19</v>
      </c>
      <c r="E3" s="11" t="s">
        <v>20</v>
      </c>
      <c r="F3" s="12" t="s">
        <v>21</v>
      </c>
      <c r="G3" s="13">
        <v>1</v>
      </c>
      <c r="H3" s="14" t="s">
        <v>22</v>
      </c>
      <c r="I3" s="15">
        <v>0</v>
      </c>
      <c r="J3" s="16">
        <v>45722</v>
      </c>
      <c r="K3" s="12"/>
      <c r="L3" s="17"/>
      <c r="M3" s="18"/>
    </row>
    <row r="4" spans="1:15" s="19" customFormat="1" ht="32.1" customHeight="1">
      <c r="A4" s="9" t="str">
        <f t="shared" ref="A4:A67" si="0">CONCATENATE("25-",ROW()-ROW($A$2))</f>
        <v>25-2</v>
      </c>
      <c r="B4" s="9" t="s">
        <v>17</v>
      </c>
      <c r="C4" s="9" t="s">
        <v>18</v>
      </c>
      <c r="D4" s="10" t="s">
        <v>19</v>
      </c>
      <c r="E4" s="11" t="s">
        <v>23</v>
      </c>
      <c r="F4" s="12" t="s">
        <v>21</v>
      </c>
      <c r="G4" s="12">
        <v>1</v>
      </c>
      <c r="H4" s="14" t="s">
        <v>22</v>
      </c>
      <c r="I4" s="15">
        <v>0</v>
      </c>
      <c r="J4" s="16">
        <v>45735</v>
      </c>
      <c r="K4" s="12"/>
      <c r="L4" s="20"/>
      <c r="M4" s="21"/>
    </row>
    <row r="5" spans="1:15" s="25" customFormat="1" ht="32.1" customHeight="1">
      <c r="A5" s="9" t="str">
        <f t="shared" si="0"/>
        <v>25-3</v>
      </c>
      <c r="B5" s="9" t="s">
        <v>17</v>
      </c>
      <c r="C5" s="9" t="s">
        <v>24</v>
      </c>
      <c r="D5" s="10" t="s">
        <v>25</v>
      </c>
      <c r="E5" s="11" t="s">
        <v>26</v>
      </c>
      <c r="F5" s="12" t="s">
        <v>21</v>
      </c>
      <c r="G5" s="12">
        <v>1</v>
      </c>
      <c r="H5" s="22">
        <v>221450000</v>
      </c>
      <c r="I5" s="23">
        <v>198000000</v>
      </c>
      <c r="J5" s="16">
        <v>45735</v>
      </c>
      <c r="K5" s="12"/>
      <c r="L5" s="20"/>
      <c r="M5" s="21"/>
      <c r="N5" s="24"/>
    </row>
    <row r="6" spans="1:15" s="25" customFormat="1" ht="32.1" customHeight="1">
      <c r="A6" s="9" t="str">
        <f t="shared" si="0"/>
        <v>25-4</v>
      </c>
      <c r="B6" s="9" t="s">
        <v>17</v>
      </c>
      <c r="C6" s="9" t="s">
        <v>27</v>
      </c>
      <c r="D6" s="10" t="s">
        <v>28</v>
      </c>
      <c r="E6" s="11" t="s">
        <v>29</v>
      </c>
      <c r="F6" s="12" t="s">
        <v>30</v>
      </c>
      <c r="G6" s="12">
        <v>2</v>
      </c>
      <c r="H6" s="22">
        <v>15400000</v>
      </c>
      <c r="I6" s="23">
        <v>13200000</v>
      </c>
      <c r="J6" s="16">
        <v>45735</v>
      </c>
      <c r="K6" s="12" t="s">
        <v>31</v>
      </c>
      <c r="L6" s="17"/>
      <c r="M6" s="18"/>
    </row>
    <row r="7" spans="1:15" s="25" customFormat="1" ht="32.1" customHeight="1">
      <c r="A7" s="9" t="str">
        <f t="shared" si="0"/>
        <v>25-5</v>
      </c>
      <c r="B7" s="9" t="s">
        <v>17</v>
      </c>
      <c r="C7" s="9" t="s">
        <v>18</v>
      </c>
      <c r="D7" s="10" t="s">
        <v>19</v>
      </c>
      <c r="E7" s="11" t="s">
        <v>32</v>
      </c>
      <c r="F7" s="12" t="s">
        <v>33</v>
      </c>
      <c r="G7" s="13">
        <v>1</v>
      </c>
      <c r="H7" s="14" t="s">
        <v>22</v>
      </c>
      <c r="I7" s="15">
        <v>0</v>
      </c>
      <c r="J7" s="16">
        <v>45743</v>
      </c>
      <c r="K7" s="12"/>
      <c r="L7" s="20"/>
      <c r="M7" s="21"/>
    </row>
    <row r="8" spans="1:15" s="25" customFormat="1" ht="32.1" customHeight="1">
      <c r="A8" s="9" t="str">
        <f t="shared" si="0"/>
        <v>25-6</v>
      </c>
      <c r="B8" s="9" t="s">
        <v>17</v>
      </c>
      <c r="C8" s="9" t="s">
        <v>18</v>
      </c>
      <c r="D8" s="10" t="s">
        <v>19</v>
      </c>
      <c r="E8" s="11" t="s">
        <v>34</v>
      </c>
      <c r="F8" s="12" t="s">
        <v>21</v>
      </c>
      <c r="G8" s="13">
        <v>1</v>
      </c>
      <c r="H8" s="14" t="s">
        <v>22</v>
      </c>
      <c r="I8" s="15">
        <v>0</v>
      </c>
      <c r="J8" s="16">
        <v>45755</v>
      </c>
      <c r="K8" s="12"/>
      <c r="L8" s="20"/>
      <c r="M8" s="21"/>
    </row>
    <row r="9" spans="1:15" s="19" customFormat="1" ht="32.1" customHeight="1">
      <c r="A9" s="9" t="str">
        <f t="shared" si="0"/>
        <v>25-7</v>
      </c>
      <c r="B9" s="9" t="s">
        <v>17</v>
      </c>
      <c r="C9" s="9" t="s">
        <v>35</v>
      </c>
      <c r="D9" s="10" t="s">
        <v>36</v>
      </c>
      <c r="E9" s="11" t="s">
        <v>37</v>
      </c>
      <c r="F9" s="26" t="s">
        <v>38</v>
      </c>
      <c r="G9" s="27">
        <v>1</v>
      </c>
      <c r="H9" s="28">
        <v>29700000</v>
      </c>
      <c r="I9" s="29">
        <v>29700000</v>
      </c>
      <c r="J9" s="16">
        <v>45763</v>
      </c>
      <c r="K9" s="12"/>
      <c r="L9" s="17"/>
      <c r="M9" s="18"/>
    </row>
    <row r="10" spans="1:15" s="19" customFormat="1" ht="32.1" customHeight="1">
      <c r="A10" s="9" t="str">
        <f t="shared" si="0"/>
        <v>25-8</v>
      </c>
      <c r="B10" s="9" t="s">
        <v>17</v>
      </c>
      <c r="C10" s="9" t="s">
        <v>35</v>
      </c>
      <c r="D10" s="10" t="s">
        <v>39</v>
      </c>
      <c r="E10" s="11" t="s">
        <v>40</v>
      </c>
      <c r="F10" s="26" t="s">
        <v>41</v>
      </c>
      <c r="G10" s="27">
        <v>1</v>
      </c>
      <c r="H10" s="28">
        <v>55000000</v>
      </c>
      <c r="I10" s="29">
        <v>50500000</v>
      </c>
      <c r="J10" s="16">
        <v>45763</v>
      </c>
      <c r="K10" s="12"/>
      <c r="L10" s="17"/>
      <c r="M10" s="18"/>
    </row>
    <row r="11" spans="1:15" s="19" customFormat="1" ht="32.1" customHeight="1">
      <c r="A11" s="9" t="str">
        <f t="shared" si="0"/>
        <v>25-9</v>
      </c>
      <c r="B11" s="9" t="s">
        <v>17</v>
      </c>
      <c r="C11" s="9" t="s">
        <v>35</v>
      </c>
      <c r="D11" s="10" t="s">
        <v>42</v>
      </c>
      <c r="E11" s="11" t="s">
        <v>43</v>
      </c>
      <c r="F11" s="26" t="s">
        <v>21</v>
      </c>
      <c r="G11" s="27">
        <v>2</v>
      </c>
      <c r="H11" s="28">
        <v>37400000</v>
      </c>
      <c r="I11" s="29">
        <v>33000000</v>
      </c>
      <c r="J11" s="16">
        <v>45763</v>
      </c>
      <c r="K11" s="12"/>
      <c r="L11" s="17"/>
      <c r="M11" s="18"/>
    </row>
    <row r="12" spans="1:15" s="19" customFormat="1" ht="32.1" customHeight="1">
      <c r="A12" s="9" t="str">
        <f t="shared" si="0"/>
        <v>25-10</v>
      </c>
      <c r="B12" s="9" t="s">
        <v>17</v>
      </c>
      <c r="C12" s="9" t="s">
        <v>27</v>
      </c>
      <c r="D12" s="10" t="s">
        <v>44</v>
      </c>
      <c r="E12" s="11" t="s">
        <v>45</v>
      </c>
      <c r="F12" s="12" t="s">
        <v>30</v>
      </c>
      <c r="G12" s="12">
        <v>8</v>
      </c>
      <c r="H12" s="22">
        <v>18400000</v>
      </c>
      <c r="I12" s="23">
        <v>17424000</v>
      </c>
      <c r="J12" s="16">
        <v>45812</v>
      </c>
      <c r="K12" s="12"/>
      <c r="L12" s="17"/>
      <c r="M12" s="18"/>
    </row>
    <row r="13" spans="1:15" s="32" customFormat="1" ht="32.1" customHeight="1">
      <c r="A13" s="9" t="str">
        <f t="shared" si="0"/>
        <v>25-11</v>
      </c>
      <c r="B13" s="9" t="s">
        <v>17</v>
      </c>
      <c r="C13" s="9" t="s">
        <v>27</v>
      </c>
      <c r="D13" s="10" t="s">
        <v>44</v>
      </c>
      <c r="E13" s="11" t="s">
        <v>46</v>
      </c>
      <c r="F13" s="12" t="s">
        <v>30</v>
      </c>
      <c r="G13" s="12">
        <v>1</v>
      </c>
      <c r="H13" s="22">
        <v>2640000</v>
      </c>
      <c r="I13" s="23">
        <v>2640000</v>
      </c>
      <c r="J13" s="16">
        <v>45812</v>
      </c>
      <c r="K13" s="12"/>
      <c r="L13" s="30"/>
      <c r="M13" s="31"/>
    </row>
    <row r="14" spans="1:15" s="40" customFormat="1" ht="32.1" customHeight="1">
      <c r="A14" s="9" t="str">
        <f t="shared" si="0"/>
        <v>25-12</v>
      </c>
      <c r="B14" s="9" t="s">
        <v>17</v>
      </c>
      <c r="C14" s="9" t="s">
        <v>35</v>
      </c>
      <c r="D14" s="33" t="s">
        <v>47</v>
      </c>
      <c r="E14" s="34" t="s">
        <v>48</v>
      </c>
      <c r="F14" s="35" t="s">
        <v>21</v>
      </c>
      <c r="G14" s="36">
        <v>1</v>
      </c>
      <c r="H14" s="37">
        <v>198000000</v>
      </c>
      <c r="I14" s="29">
        <v>197500000</v>
      </c>
      <c r="J14" s="16">
        <v>45813</v>
      </c>
      <c r="K14" s="35" t="s">
        <v>49</v>
      </c>
      <c r="L14" s="38"/>
      <c r="M14" s="39"/>
    </row>
    <row r="15" spans="1:15" s="42" customFormat="1" ht="32.1" customHeight="1">
      <c r="A15" s="9" t="str">
        <f t="shared" si="0"/>
        <v>25-13</v>
      </c>
      <c r="B15" s="9" t="s">
        <v>17</v>
      </c>
      <c r="C15" s="9" t="s">
        <v>35</v>
      </c>
      <c r="D15" s="10" t="s">
        <v>50</v>
      </c>
      <c r="E15" s="11" t="s">
        <v>51</v>
      </c>
      <c r="F15" s="26" t="s">
        <v>21</v>
      </c>
      <c r="G15" s="27">
        <v>1</v>
      </c>
      <c r="H15" s="28">
        <v>300000000</v>
      </c>
      <c r="I15" s="29">
        <v>250000000</v>
      </c>
      <c r="J15" s="16">
        <v>45833</v>
      </c>
      <c r="K15" s="12"/>
      <c r="L15" s="41"/>
      <c r="M15" s="21"/>
    </row>
    <row r="16" spans="1:15" s="32" customFormat="1" ht="32.1" customHeight="1">
      <c r="A16" s="9" t="str">
        <f t="shared" si="0"/>
        <v>25-14</v>
      </c>
      <c r="B16" s="9" t="s">
        <v>17</v>
      </c>
      <c r="C16" s="9" t="s">
        <v>35</v>
      </c>
      <c r="D16" s="33" t="s">
        <v>52</v>
      </c>
      <c r="E16" s="34" t="s">
        <v>51</v>
      </c>
      <c r="F16" s="35" t="s">
        <v>21</v>
      </c>
      <c r="G16" s="36">
        <v>1</v>
      </c>
      <c r="H16" s="37">
        <v>734100000</v>
      </c>
      <c r="I16" s="29">
        <v>650000000</v>
      </c>
      <c r="J16" s="16">
        <v>45833</v>
      </c>
      <c r="K16" s="35"/>
      <c r="L16" s="20"/>
      <c r="M16" s="43"/>
      <c r="N16" s="42"/>
      <c r="O16" s="42"/>
    </row>
    <row r="17" spans="1:15" s="19" customFormat="1" ht="32.1" customHeight="1">
      <c r="A17" s="9" t="str">
        <f t="shared" si="0"/>
        <v>25-15</v>
      </c>
      <c r="B17" s="9" t="s">
        <v>17</v>
      </c>
      <c r="C17" s="9" t="s">
        <v>35</v>
      </c>
      <c r="D17" s="33" t="s">
        <v>47</v>
      </c>
      <c r="E17" s="34" t="s">
        <v>53</v>
      </c>
      <c r="F17" s="35" t="s">
        <v>21</v>
      </c>
      <c r="G17" s="36">
        <v>1</v>
      </c>
      <c r="H17" s="37">
        <v>64000000</v>
      </c>
      <c r="I17" s="29">
        <v>56000000</v>
      </c>
      <c r="J17" s="16">
        <v>45839</v>
      </c>
      <c r="K17" s="35"/>
      <c r="L17" s="44"/>
      <c r="M17" s="45"/>
      <c r="N17" s="42"/>
      <c r="O17" s="42"/>
    </row>
    <row r="18" spans="1:15" s="25" customFormat="1" ht="32.1" customHeight="1">
      <c r="A18" s="9" t="str">
        <f t="shared" si="0"/>
        <v>25-16</v>
      </c>
      <c r="B18" s="9" t="s">
        <v>17</v>
      </c>
      <c r="C18" s="9" t="s">
        <v>35</v>
      </c>
      <c r="D18" s="10" t="s">
        <v>54</v>
      </c>
      <c r="E18" s="11" t="s">
        <v>55</v>
      </c>
      <c r="F18" s="26" t="s">
        <v>41</v>
      </c>
      <c r="G18" s="27">
        <v>1</v>
      </c>
      <c r="H18" s="28">
        <v>46200000</v>
      </c>
      <c r="I18" s="29">
        <v>46200000</v>
      </c>
      <c r="J18" s="16">
        <v>45839</v>
      </c>
      <c r="K18" s="12"/>
      <c r="L18" s="17"/>
      <c r="M18" s="31"/>
      <c r="N18" s="40"/>
      <c r="O18"/>
    </row>
    <row r="19" spans="1:15" ht="32.1" customHeight="1">
      <c r="A19" s="9" t="str">
        <f t="shared" si="0"/>
        <v>25-17</v>
      </c>
      <c r="B19" s="9" t="s">
        <v>17</v>
      </c>
      <c r="C19" s="9" t="s">
        <v>35</v>
      </c>
      <c r="D19" s="10" t="s">
        <v>19</v>
      </c>
      <c r="E19" s="11" t="s">
        <v>56</v>
      </c>
      <c r="F19" s="26" t="s">
        <v>21</v>
      </c>
      <c r="G19" s="27">
        <v>2</v>
      </c>
      <c r="H19" s="28">
        <v>50160000</v>
      </c>
      <c r="I19" s="29">
        <v>49500000</v>
      </c>
      <c r="J19" s="16">
        <v>45839</v>
      </c>
      <c r="K19" s="12"/>
      <c r="L19" s="30"/>
      <c r="M19" s="18"/>
      <c r="N19" s="40"/>
    </row>
    <row r="20" spans="1:15" s="32" customFormat="1" ht="32.1" customHeight="1">
      <c r="A20" s="9" t="str">
        <f t="shared" si="0"/>
        <v>25-18</v>
      </c>
      <c r="B20" s="9" t="s">
        <v>17</v>
      </c>
      <c r="C20" s="9" t="s">
        <v>27</v>
      </c>
      <c r="D20" s="10" t="s">
        <v>57</v>
      </c>
      <c r="E20" s="11" t="s">
        <v>58</v>
      </c>
      <c r="F20" s="12" t="s">
        <v>30</v>
      </c>
      <c r="G20" s="12">
        <v>1</v>
      </c>
      <c r="H20" s="22">
        <v>66000000</v>
      </c>
      <c r="I20" s="29">
        <v>59400000</v>
      </c>
      <c r="J20" s="16">
        <v>45847</v>
      </c>
      <c r="K20" s="12"/>
      <c r="L20" s="17"/>
      <c r="M20" s="18"/>
    </row>
    <row r="21" spans="1:15" s="32" customFormat="1" ht="32.1" customHeight="1">
      <c r="A21" s="9" t="str">
        <f t="shared" si="0"/>
        <v>25-19</v>
      </c>
      <c r="B21" s="9" t="s">
        <v>17</v>
      </c>
      <c r="C21" s="9" t="s">
        <v>27</v>
      </c>
      <c r="D21" s="10" t="s">
        <v>57</v>
      </c>
      <c r="E21" s="11" t="s">
        <v>59</v>
      </c>
      <c r="F21" s="12" t="s">
        <v>30</v>
      </c>
      <c r="G21" s="12">
        <v>1</v>
      </c>
      <c r="H21" s="22">
        <v>44000000</v>
      </c>
      <c r="I21" s="29">
        <v>37400000</v>
      </c>
      <c r="J21" s="16">
        <v>45847</v>
      </c>
      <c r="K21" s="12"/>
      <c r="L21" s="17"/>
      <c r="M21" s="18"/>
    </row>
    <row r="22" spans="1:15" s="32" customFormat="1" ht="32.1" customHeight="1">
      <c r="A22" s="9" t="str">
        <f t="shared" si="0"/>
        <v>25-20</v>
      </c>
      <c r="B22" s="9" t="s">
        <v>17</v>
      </c>
      <c r="C22" s="9" t="s">
        <v>35</v>
      </c>
      <c r="D22" s="46" t="s">
        <v>50</v>
      </c>
      <c r="E22" s="47" t="s">
        <v>60</v>
      </c>
      <c r="F22" s="48" t="s">
        <v>21</v>
      </c>
      <c r="G22" s="49">
        <v>1</v>
      </c>
      <c r="H22" s="50">
        <v>65000000</v>
      </c>
      <c r="I22" s="29">
        <v>57000000</v>
      </c>
      <c r="J22" s="51">
        <v>45856</v>
      </c>
      <c r="K22" s="52" t="s">
        <v>61</v>
      </c>
      <c r="L22" s="20"/>
      <c r="M22" s="31"/>
    </row>
    <row r="23" spans="1:15" s="54" customFormat="1" ht="32.1" customHeight="1">
      <c r="A23" s="9" t="str">
        <f t="shared" si="0"/>
        <v>25-21</v>
      </c>
      <c r="B23" s="9" t="s">
        <v>17</v>
      </c>
      <c r="C23" s="9" t="s">
        <v>35</v>
      </c>
      <c r="D23" s="46" t="s">
        <v>62</v>
      </c>
      <c r="E23" s="47" t="s">
        <v>63</v>
      </c>
      <c r="F23" s="48" t="s">
        <v>41</v>
      </c>
      <c r="G23" s="49">
        <v>1</v>
      </c>
      <c r="H23" s="50">
        <v>15000000</v>
      </c>
      <c r="I23" s="29">
        <v>15000000</v>
      </c>
      <c r="J23" s="51">
        <v>45856</v>
      </c>
      <c r="K23" s="52" t="s">
        <v>64</v>
      </c>
      <c r="L23" s="53"/>
      <c r="M23" s="31"/>
    </row>
    <row r="24" spans="1:15" s="32" customFormat="1" ht="32.1" customHeight="1">
      <c r="A24" s="9" t="str">
        <f t="shared" si="0"/>
        <v>25-22</v>
      </c>
      <c r="B24" s="9" t="s">
        <v>17</v>
      </c>
      <c r="C24" s="9" t="s">
        <v>35</v>
      </c>
      <c r="D24" s="10" t="s">
        <v>19</v>
      </c>
      <c r="E24" s="11" t="s">
        <v>65</v>
      </c>
      <c r="F24" s="26" t="s">
        <v>21</v>
      </c>
      <c r="G24" s="27">
        <v>1</v>
      </c>
      <c r="H24" s="28">
        <v>9900000</v>
      </c>
      <c r="I24" s="29">
        <v>7040000</v>
      </c>
      <c r="J24" s="51">
        <v>45856</v>
      </c>
      <c r="K24" s="12"/>
      <c r="L24" s="30"/>
      <c r="M24" s="55"/>
    </row>
    <row r="25" spans="1:15" s="54" customFormat="1" ht="32.1" customHeight="1">
      <c r="A25" s="9" t="str">
        <f t="shared" si="0"/>
        <v>25-23</v>
      </c>
      <c r="B25" s="9" t="s">
        <v>17</v>
      </c>
      <c r="C25" s="9" t="s">
        <v>35</v>
      </c>
      <c r="D25" s="10" t="s">
        <v>19</v>
      </c>
      <c r="E25" s="11" t="s">
        <v>66</v>
      </c>
      <c r="F25" s="26" t="s">
        <v>21</v>
      </c>
      <c r="G25" s="27">
        <v>1</v>
      </c>
      <c r="H25" s="28">
        <v>9900000</v>
      </c>
      <c r="I25" s="29">
        <v>7370000</v>
      </c>
      <c r="J25" s="51">
        <v>45856</v>
      </c>
      <c r="K25" s="12"/>
      <c r="L25" s="30"/>
      <c r="M25" s="21"/>
    </row>
    <row r="26" spans="1:15" s="32" customFormat="1" ht="32.1" customHeight="1">
      <c r="A26" s="9" t="str">
        <f t="shared" si="0"/>
        <v>25-24</v>
      </c>
      <c r="B26" s="9" t="s">
        <v>17</v>
      </c>
      <c r="C26" s="9" t="s">
        <v>35</v>
      </c>
      <c r="D26" s="10" t="s">
        <v>19</v>
      </c>
      <c r="E26" s="11" t="s">
        <v>67</v>
      </c>
      <c r="F26" s="26" t="s">
        <v>21</v>
      </c>
      <c r="G26" s="27">
        <v>1</v>
      </c>
      <c r="H26" s="28">
        <v>15510000</v>
      </c>
      <c r="I26" s="29">
        <v>14100000</v>
      </c>
      <c r="J26" s="51">
        <v>45856</v>
      </c>
      <c r="K26" s="12"/>
      <c r="L26" s="56"/>
      <c r="M26" s="57"/>
    </row>
    <row r="27" spans="1:15" s="54" customFormat="1" ht="32.1" customHeight="1">
      <c r="A27" s="9" t="str">
        <f t="shared" si="0"/>
        <v>25-25</v>
      </c>
      <c r="B27" s="9" t="s">
        <v>17</v>
      </c>
      <c r="C27" s="9" t="s">
        <v>35</v>
      </c>
      <c r="D27" s="58" t="s">
        <v>68</v>
      </c>
      <c r="E27" s="59" t="s">
        <v>69</v>
      </c>
      <c r="F27" s="60" t="s">
        <v>70</v>
      </c>
      <c r="G27" s="61">
        <v>1</v>
      </c>
      <c r="H27" s="62">
        <v>8200000</v>
      </c>
      <c r="I27" s="15">
        <v>8100000</v>
      </c>
      <c r="J27" s="16">
        <v>45877</v>
      </c>
      <c r="K27" s="58" t="s">
        <v>71</v>
      </c>
      <c r="L27" s="30"/>
      <c r="M27" s="31"/>
    </row>
    <row r="28" spans="1:15" s="25" customFormat="1" ht="32.1" customHeight="1">
      <c r="A28" s="9" t="str">
        <f t="shared" si="0"/>
        <v>25-26</v>
      </c>
      <c r="B28" s="9" t="s">
        <v>17</v>
      </c>
      <c r="C28" s="9" t="s">
        <v>35</v>
      </c>
      <c r="D28" s="58" t="s">
        <v>68</v>
      </c>
      <c r="E28" s="59" t="s">
        <v>72</v>
      </c>
      <c r="F28" s="60" t="s">
        <v>70</v>
      </c>
      <c r="G28" s="61">
        <v>1</v>
      </c>
      <c r="H28" s="62">
        <v>4400000</v>
      </c>
      <c r="I28" s="15">
        <v>4400000</v>
      </c>
      <c r="J28" s="16">
        <v>45877</v>
      </c>
      <c r="K28" s="58" t="s">
        <v>71</v>
      </c>
      <c r="L28" s="30"/>
      <c r="M28" s="31"/>
    </row>
    <row r="29" spans="1:15" s="32" customFormat="1" ht="32.1" customHeight="1">
      <c r="A29" s="9" t="str">
        <f t="shared" si="0"/>
        <v>25-27</v>
      </c>
      <c r="B29" s="9" t="s">
        <v>17</v>
      </c>
      <c r="C29" s="9" t="s">
        <v>35</v>
      </c>
      <c r="D29" s="58" t="s">
        <v>68</v>
      </c>
      <c r="E29" s="59" t="s">
        <v>73</v>
      </c>
      <c r="F29" s="60" t="s">
        <v>70</v>
      </c>
      <c r="G29" s="61">
        <v>2</v>
      </c>
      <c r="H29" s="62">
        <v>7200000</v>
      </c>
      <c r="I29" s="15">
        <v>7200000</v>
      </c>
      <c r="J29" s="16">
        <v>45877</v>
      </c>
      <c r="K29" s="58" t="s">
        <v>71</v>
      </c>
      <c r="L29" s="30"/>
      <c r="M29" s="31"/>
    </row>
    <row r="30" spans="1:15" s="32" customFormat="1" ht="32.1" customHeight="1">
      <c r="A30" s="9" t="str">
        <f t="shared" si="0"/>
        <v>25-28</v>
      </c>
      <c r="B30" s="9" t="s">
        <v>17</v>
      </c>
      <c r="C30" s="63" t="s">
        <v>74</v>
      </c>
      <c r="D30" s="58" t="s">
        <v>68</v>
      </c>
      <c r="E30" s="59" t="s">
        <v>75</v>
      </c>
      <c r="F30" s="60" t="s">
        <v>70</v>
      </c>
      <c r="G30" s="61">
        <v>1</v>
      </c>
      <c r="H30" s="62">
        <v>16000000</v>
      </c>
      <c r="I30" s="15">
        <v>16000000</v>
      </c>
      <c r="J30" s="16">
        <v>45877</v>
      </c>
      <c r="K30" s="58" t="s">
        <v>71</v>
      </c>
      <c r="L30" s="30" t="s">
        <v>76</v>
      </c>
      <c r="M30" s="31"/>
    </row>
    <row r="31" spans="1:15" s="32" customFormat="1" ht="32.1" customHeight="1">
      <c r="A31" s="9" t="str">
        <f t="shared" si="0"/>
        <v>25-29</v>
      </c>
      <c r="B31" s="9" t="s">
        <v>17</v>
      </c>
      <c r="C31" s="9" t="s">
        <v>77</v>
      </c>
      <c r="D31" s="58" t="s">
        <v>68</v>
      </c>
      <c r="E31" s="59" t="s">
        <v>78</v>
      </c>
      <c r="F31" s="60" t="s">
        <v>70</v>
      </c>
      <c r="G31" s="61">
        <v>2</v>
      </c>
      <c r="H31" s="62">
        <v>142000000</v>
      </c>
      <c r="I31" s="15">
        <v>141000000</v>
      </c>
      <c r="J31" s="16">
        <v>45877</v>
      </c>
      <c r="K31" s="58" t="s">
        <v>71</v>
      </c>
      <c r="L31" s="30"/>
      <c r="M31" s="31"/>
    </row>
    <row r="32" spans="1:15" s="32" customFormat="1" ht="32.1" customHeight="1">
      <c r="A32" s="9" t="str">
        <f t="shared" si="0"/>
        <v>25-30</v>
      </c>
      <c r="B32" s="9" t="s">
        <v>17</v>
      </c>
      <c r="C32" s="9" t="s">
        <v>79</v>
      </c>
      <c r="D32" s="58" t="s">
        <v>68</v>
      </c>
      <c r="E32" s="59" t="s">
        <v>80</v>
      </c>
      <c r="F32" s="60" t="s">
        <v>70</v>
      </c>
      <c r="G32" s="61">
        <v>1</v>
      </c>
      <c r="H32" s="62">
        <v>8360000</v>
      </c>
      <c r="I32" s="15">
        <v>8360000</v>
      </c>
      <c r="J32" s="16">
        <v>45877</v>
      </c>
      <c r="K32" s="58" t="s">
        <v>71</v>
      </c>
      <c r="L32" s="56"/>
      <c r="M32" s="55"/>
    </row>
    <row r="33" spans="1:13" s="54" customFormat="1" ht="32.1" customHeight="1">
      <c r="A33" s="9" t="str">
        <f t="shared" si="0"/>
        <v>25-31</v>
      </c>
      <c r="B33" s="9" t="s">
        <v>17</v>
      </c>
      <c r="C33" s="9" t="s">
        <v>79</v>
      </c>
      <c r="D33" s="58" t="s">
        <v>68</v>
      </c>
      <c r="E33" s="59" t="s">
        <v>45</v>
      </c>
      <c r="F33" s="60" t="s">
        <v>70</v>
      </c>
      <c r="G33" s="61">
        <v>10</v>
      </c>
      <c r="H33" s="62">
        <v>21780000</v>
      </c>
      <c r="I33" s="15">
        <v>21780000</v>
      </c>
      <c r="J33" s="16">
        <v>45877</v>
      </c>
      <c r="K33" s="58" t="s">
        <v>71</v>
      </c>
      <c r="L33" s="30"/>
      <c r="M33" s="31"/>
    </row>
    <row r="34" spans="1:13" s="32" customFormat="1" ht="32.1" customHeight="1">
      <c r="A34" s="9" t="str">
        <f t="shared" si="0"/>
        <v>25-32</v>
      </c>
      <c r="B34" s="9" t="s">
        <v>17</v>
      </c>
      <c r="C34" s="9" t="s">
        <v>35</v>
      </c>
      <c r="D34" s="58" t="s">
        <v>68</v>
      </c>
      <c r="E34" s="59" t="s">
        <v>81</v>
      </c>
      <c r="F34" s="60" t="s">
        <v>70</v>
      </c>
      <c r="G34" s="61">
        <v>1</v>
      </c>
      <c r="H34" s="62">
        <v>9900000</v>
      </c>
      <c r="I34" s="15">
        <v>9900000</v>
      </c>
      <c r="J34" s="16">
        <v>45877</v>
      </c>
      <c r="K34" s="58" t="s">
        <v>71</v>
      </c>
      <c r="L34" s="56"/>
      <c r="M34" s="55"/>
    </row>
    <row r="35" spans="1:13" s="32" customFormat="1" ht="32.1" customHeight="1">
      <c r="A35" s="9" t="str">
        <f t="shared" si="0"/>
        <v>25-33</v>
      </c>
      <c r="B35" s="9" t="s">
        <v>17</v>
      </c>
      <c r="C35" s="9" t="s">
        <v>35</v>
      </c>
      <c r="D35" s="58" t="s">
        <v>68</v>
      </c>
      <c r="E35" s="59" t="s">
        <v>82</v>
      </c>
      <c r="F35" s="60" t="s">
        <v>70</v>
      </c>
      <c r="G35" s="61">
        <v>2</v>
      </c>
      <c r="H35" s="62">
        <v>6000000</v>
      </c>
      <c r="I35" s="15">
        <v>6000000</v>
      </c>
      <c r="J35" s="16">
        <v>45877</v>
      </c>
      <c r="K35" s="58" t="s">
        <v>71</v>
      </c>
      <c r="L35" s="20"/>
      <c r="M35" s="21"/>
    </row>
    <row r="36" spans="1:13" s="32" customFormat="1" ht="32.1" customHeight="1">
      <c r="A36" s="9" t="str">
        <f t="shared" si="0"/>
        <v>25-34</v>
      </c>
      <c r="B36" s="9" t="s">
        <v>17</v>
      </c>
      <c r="C36" s="9" t="s">
        <v>35</v>
      </c>
      <c r="D36" s="58" t="s">
        <v>68</v>
      </c>
      <c r="E36" s="59" t="s">
        <v>83</v>
      </c>
      <c r="F36" s="60" t="s">
        <v>70</v>
      </c>
      <c r="G36" s="61">
        <v>1</v>
      </c>
      <c r="H36" s="62">
        <v>3500000</v>
      </c>
      <c r="I36" s="15">
        <v>3500000</v>
      </c>
      <c r="J36" s="16">
        <v>45877</v>
      </c>
      <c r="K36" s="58" t="s">
        <v>71</v>
      </c>
      <c r="L36" s="30"/>
      <c r="M36" s="31"/>
    </row>
    <row r="37" spans="1:13" s="32" customFormat="1" ht="32.1" customHeight="1">
      <c r="A37" s="9" t="str">
        <f t="shared" si="0"/>
        <v>25-35</v>
      </c>
      <c r="B37" s="9" t="s">
        <v>17</v>
      </c>
      <c r="C37" s="9" t="s">
        <v>35</v>
      </c>
      <c r="D37" s="58" t="s">
        <v>68</v>
      </c>
      <c r="E37" s="59" t="s">
        <v>81</v>
      </c>
      <c r="F37" s="60" t="s">
        <v>70</v>
      </c>
      <c r="G37" s="61">
        <v>1</v>
      </c>
      <c r="H37" s="62">
        <v>9900000</v>
      </c>
      <c r="I37" s="15">
        <v>9900000</v>
      </c>
      <c r="J37" s="16">
        <v>45877</v>
      </c>
      <c r="K37" s="58" t="s">
        <v>71</v>
      </c>
      <c r="L37" s="30"/>
      <c r="M37" s="31"/>
    </row>
    <row r="38" spans="1:13" s="54" customFormat="1" ht="32.1" customHeight="1">
      <c r="A38" s="9" t="str">
        <f t="shared" si="0"/>
        <v>25-36</v>
      </c>
      <c r="B38" s="9" t="s">
        <v>17</v>
      </c>
      <c r="C38" s="9" t="s">
        <v>35</v>
      </c>
      <c r="D38" s="58" t="s">
        <v>68</v>
      </c>
      <c r="E38" s="59" t="s">
        <v>84</v>
      </c>
      <c r="F38" s="60" t="s">
        <v>70</v>
      </c>
      <c r="G38" s="61">
        <v>2</v>
      </c>
      <c r="H38" s="62">
        <v>13000000</v>
      </c>
      <c r="I38" s="15">
        <v>13000000</v>
      </c>
      <c r="J38" s="16">
        <v>45877</v>
      </c>
      <c r="K38" s="58" t="s">
        <v>71</v>
      </c>
      <c r="L38" s="56"/>
      <c r="M38" s="55"/>
    </row>
    <row r="39" spans="1:13" s="32" customFormat="1" ht="32.1" customHeight="1">
      <c r="A39" s="9" t="str">
        <f t="shared" si="0"/>
        <v>25-37</v>
      </c>
      <c r="B39" s="9" t="s">
        <v>17</v>
      </c>
      <c r="C39" s="9" t="s">
        <v>35</v>
      </c>
      <c r="D39" s="58" t="s">
        <v>68</v>
      </c>
      <c r="E39" s="59" t="s">
        <v>85</v>
      </c>
      <c r="F39" s="60" t="s">
        <v>70</v>
      </c>
      <c r="G39" s="61">
        <v>13</v>
      </c>
      <c r="H39" s="62">
        <v>130000000</v>
      </c>
      <c r="I39" s="15">
        <v>130000000</v>
      </c>
      <c r="J39" s="16">
        <v>45877</v>
      </c>
      <c r="K39" s="58" t="s">
        <v>71</v>
      </c>
      <c r="L39" s="30"/>
      <c r="M39" s="31"/>
    </row>
    <row r="40" spans="1:13" s="54" customFormat="1" ht="32.1" customHeight="1">
      <c r="A40" s="9" t="str">
        <f t="shared" si="0"/>
        <v>25-38</v>
      </c>
      <c r="B40" s="9" t="s">
        <v>17</v>
      </c>
      <c r="C40" s="9" t="s">
        <v>35</v>
      </c>
      <c r="D40" s="58" t="s">
        <v>68</v>
      </c>
      <c r="E40" s="59" t="s">
        <v>81</v>
      </c>
      <c r="F40" s="60" t="s">
        <v>70</v>
      </c>
      <c r="G40" s="61">
        <v>1</v>
      </c>
      <c r="H40" s="62">
        <v>9900000</v>
      </c>
      <c r="I40" s="15">
        <v>9900000</v>
      </c>
      <c r="J40" s="16">
        <v>45877</v>
      </c>
      <c r="K40" s="58" t="s">
        <v>71</v>
      </c>
      <c r="L40" s="30"/>
      <c r="M40" s="31"/>
    </row>
    <row r="41" spans="1:13" s="32" customFormat="1" ht="32.1" customHeight="1">
      <c r="A41" s="9" t="str">
        <f t="shared" si="0"/>
        <v>25-39</v>
      </c>
      <c r="B41" s="9" t="s">
        <v>86</v>
      </c>
      <c r="C41" s="9" t="s">
        <v>79</v>
      </c>
      <c r="D41" s="58" t="s">
        <v>68</v>
      </c>
      <c r="E41" s="59" t="s">
        <v>87</v>
      </c>
      <c r="F41" s="60" t="s">
        <v>70</v>
      </c>
      <c r="G41" s="61">
        <v>1</v>
      </c>
      <c r="H41" s="62">
        <v>72660000</v>
      </c>
      <c r="I41" s="29">
        <v>72000000</v>
      </c>
      <c r="J41" s="16">
        <v>45896</v>
      </c>
      <c r="K41" s="58" t="s">
        <v>71</v>
      </c>
      <c r="L41" s="190" t="s">
        <v>88</v>
      </c>
      <c r="M41" s="31"/>
    </row>
    <row r="42" spans="1:13" s="54" customFormat="1" ht="32.1" customHeight="1">
      <c r="A42" s="9" t="str">
        <f t="shared" si="0"/>
        <v>25-40</v>
      </c>
      <c r="B42" s="9" t="s">
        <v>86</v>
      </c>
      <c r="C42" s="9" t="s">
        <v>79</v>
      </c>
      <c r="D42" s="58" t="s">
        <v>68</v>
      </c>
      <c r="E42" s="59" t="s">
        <v>89</v>
      </c>
      <c r="F42" s="60" t="s">
        <v>70</v>
      </c>
      <c r="G42" s="61">
        <v>1</v>
      </c>
      <c r="H42" s="62">
        <v>132000000</v>
      </c>
      <c r="I42" s="29">
        <v>118000000</v>
      </c>
      <c r="J42" s="16">
        <v>45896</v>
      </c>
      <c r="K42" s="58" t="s">
        <v>71</v>
      </c>
      <c r="L42" s="190"/>
      <c r="M42" s="31"/>
    </row>
    <row r="43" spans="1:13" s="32" customFormat="1" ht="32.1" customHeight="1">
      <c r="A43" s="9" t="str">
        <f t="shared" si="0"/>
        <v>25-41</v>
      </c>
      <c r="B43" s="9" t="s">
        <v>17</v>
      </c>
      <c r="C43" s="9" t="s">
        <v>79</v>
      </c>
      <c r="D43" s="58" t="s">
        <v>68</v>
      </c>
      <c r="E43" s="59" t="s">
        <v>46</v>
      </c>
      <c r="F43" s="60" t="s">
        <v>70</v>
      </c>
      <c r="G43" s="61">
        <v>1</v>
      </c>
      <c r="H43" s="62">
        <v>32000000</v>
      </c>
      <c r="I43" s="29">
        <v>32000000</v>
      </c>
      <c r="J43" s="16">
        <v>45896</v>
      </c>
      <c r="K43" s="58" t="s">
        <v>71</v>
      </c>
      <c r="L43" s="190"/>
      <c r="M43" s="55"/>
    </row>
    <row r="44" spans="1:13" s="32" customFormat="1" ht="32.1" customHeight="1">
      <c r="A44" s="9" t="str">
        <f t="shared" si="0"/>
        <v>25-42</v>
      </c>
      <c r="B44" s="9" t="s">
        <v>17</v>
      </c>
      <c r="C44" s="9" t="s">
        <v>35</v>
      </c>
      <c r="D44" s="33" t="s">
        <v>90</v>
      </c>
      <c r="E44" s="34" t="s">
        <v>91</v>
      </c>
      <c r="F44" s="35" t="s">
        <v>41</v>
      </c>
      <c r="G44" s="36">
        <v>2</v>
      </c>
      <c r="H44" s="37">
        <v>120000000</v>
      </c>
      <c r="I44" s="29">
        <v>100000000</v>
      </c>
      <c r="J44" s="16">
        <v>45896</v>
      </c>
      <c r="K44" s="35"/>
      <c r="L44" s="64"/>
      <c r="M44" s="65"/>
    </row>
    <row r="45" spans="1:13" s="32" customFormat="1" ht="32.1" customHeight="1">
      <c r="A45" s="9" t="str">
        <f t="shared" si="0"/>
        <v>25-43</v>
      </c>
      <c r="B45" s="9" t="s">
        <v>17</v>
      </c>
      <c r="C45" s="9" t="s">
        <v>35</v>
      </c>
      <c r="D45" s="33" t="s">
        <v>90</v>
      </c>
      <c r="E45" s="34" t="s">
        <v>92</v>
      </c>
      <c r="F45" s="35" t="s">
        <v>41</v>
      </c>
      <c r="G45" s="36">
        <v>2</v>
      </c>
      <c r="H45" s="37">
        <v>300000000</v>
      </c>
      <c r="I45" s="29">
        <v>250000000</v>
      </c>
      <c r="J45" s="16">
        <v>45896</v>
      </c>
      <c r="K45" s="35"/>
      <c r="L45" s="20"/>
      <c r="M45" s="21"/>
    </row>
    <row r="46" spans="1:13" s="54" customFormat="1" ht="32.1" customHeight="1">
      <c r="A46" s="9" t="str">
        <f t="shared" si="0"/>
        <v>25-44</v>
      </c>
      <c r="B46" s="9" t="s">
        <v>17</v>
      </c>
      <c r="C46" s="9" t="s">
        <v>35</v>
      </c>
      <c r="D46" s="33" t="s">
        <v>90</v>
      </c>
      <c r="E46" s="34" t="s">
        <v>93</v>
      </c>
      <c r="F46" s="35" t="s">
        <v>41</v>
      </c>
      <c r="G46" s="36">
        <v>1</v>
      </c>
      <c r="H46" s="37">
        <v>60000000</v>
      </c>
      <c r="I46" s="29">
        <v>52000000</v>
      </c>
      <c r="J46" s="16">
        <v>45896</v>
      </c>
      <c r="K46" s="35"/>
      <c r="L46" s="20"/>
      <c r="M46" s="21"/>
    </row>
    <row r="47" spans="1:13" s="32" customFormat="1" ht="32.1" customHeight="1">
      <c r="A47" s="9" t="str">
        <f t="shared" si="0"/>
        <v>25-45</v>
      </c>
      <c r="B47" s="9" t="s">
        <v>17</v>
      </c>
      <c r="C47" s="9" t="s">
        <v>35</v>
      </c>
      <c r="D47" s="33" t="s">
        <v>90</v>
      </c>
      <c r="E47" s="34" t="s">
        <v>94</v>
      </c>
      <c r="F47" s="35" t="s">
        <v>41</v>
      </c>
      <c r="G47" s="36">
        <v>1</v>
      </c>
      <c r="H47" s="37">
        <v>55000000</v>
      </c>
      <c r="I47" s="29">
        <v>47000000</v>
      </c>
      <c r="J47" s="16">
        <v>45896</v>
      </c>
      <c r="K47" s="35"/>
      <c r="L47" s="20"/>
      <c r="M47" s="21"/>
    </row>
    <row r="48" spans="1:13" s="71" customFormat="1" ht="32.1" customHeight="1">
      <c r="A48" s="9" t="str">
        <f t="shared" si="0"/>
        <v>25-46</v>
      </c>
      <c r="B48" s="9" t="s">
        <v>17</v>
      </c>
      <c r="C48" s="9" t="s">
        <v>95</v>
      </c>
      <c r="D48" s="66" t="s">
        <v>96</v>
      </c>
      <c r="E48" s="67" t="s">
        <v>97</v>
      </c>
      <c r="F48" s="68" t="s">
        <v>70</v>
      </c>
      <c r="G48" s="69">
        <v>2</v>
      </c>
      <c r="H48" s="70">
        <v>38000000</v>
      </c>
      <c r="I48" s="15">
        <v>38000000</v>
      </c>
      <c r="J48" s="16">
        <v>45919</v>
      </c>
      <c r="K48" s="66" t="s">
        <v>71</v>
      </c>
      <c r="L48" s="56"/>
      <c r="M48" s="31"/>
    </row>
    <row r="49" spans="1:13" s="25" customFormat="1" ht="32.1" customHeight="1">
      <c r="A49" s="9" t="str">
        <f t="shared" si="0"/>
        <v>25-47</v>
      </c>
      <c r="B49" s="9" t="s">
        <v>17</v>
      </c>
      <c r="C49" s="9" t="s">
        <v>95</v>
      </c>
      <c r="D49" s="66" t="s">
        <v>96</v>
      </c>
      <c r="E49" s="67" t="s">
        <v>98</v>
      </c>
      <c r="F49" s="68" t="s">
        <v>70</v>
      </c>
      <c r="G49" s="69">
        <v>13</v>
      </c>
      <c r="H49" s="70">
        <v>318799000</v>
      </c>
      <c r="I49" s="15">
        <v>318799000</v>
      </c>
      <c r="J49" s="16">
        <v>45919</v>
      </c>
      <c r="K49" s="66" t="s">
        <v>71</v>
      </c>
      <c r="L49" s="30"/>
      <c r="M49" s="55"/>
    </row>
    <row r="50" spans="1:13" s="25" customFormat="1" ht="32.1" customHeight="1">
      <c r="A50" s="9" t="str">
        <f t="shared" si="0"/>
        <v>25-48</v>
      </c>
      <c r="B50" s="9" t="s">
        <v>17</v>
      </c>
      <c r="C50" s="9" t="s">
        <v>95</v>
      </c>
      <c r="D50" s="66" t="s">
        <v>96</v>
      </c>
      <c r="E50" s="67" t="s">
        <v>99</v>
      </c>
      <c r="F50" s="68" t="s">
        <v>70</v>
      </c>
      <c r="G50" s="69">
        <v>1</v>
      </c>
      <c r="H50" s="70">
        <v>9900000</v>
      </c>
      <c r="I50" s="15">
        <v>9800000</v>
      </c>
      <c r="J50" s="16">
        <v>45919</v>
      </c>
      <c r="K50" s="66" t="s">
        <v>71</v>
      </c>
      <c r="L50" s="56"/>
      <c r="M50" s="31"/>
    </row>
    <row r="51" spans="1:13" s="25" customFormat="1" ht="32.1" customHeight="1">
      <c r="A51" s="9" t="str">
        <f t="shared" si="0"/>
        <v>25-49</v>
      </c>
      <c r="B51" s="9" t="s">
        <v>17</v>
      </c>
      <c r="C51" s="9" t="s">
        <v>95</v>
      </c>
      <c r="D51" s="66" t="s">
        <v>96</v>
      </c>
      <c r="E51" s="67" t="s">
        <v>100</v>
      </c>
      <c r="F51" s="68" t="s">
        <v>70</v>
      </c>
      <c r="G51" s="69">
        <v>1</v>
      </c>
      <c r="H51" s="70">
        <v>6500000</v>
      </c>
      <c r="I51" s="15">
        <v>6500000</v>
      </c>
      <c r="J51" s="16">
        <v>45919</v>
      </c>
      <c r="K51" s="66" t="s">
        <v>71</v>
      </c>
      <c r="L51" s="30"/>
      <c r="M51" s="31"/>
    </row>
    <row r="52" spans="1:13" s="54" customFormat="1" ht="32.1" customHeight="1">
      <c r="A52" s="9" t="str">
        <f t="shared" si="0"/>
        <v>25-50</v>
      </c>
      <c r="B52" s="9" t="s">
        <v>17</v>
      </c>
      <c r="C52" s="9" t="s">
        <v>95</v>
      </c>
      <c r="D52" s="66" t="s">
        <v>96</v>
      </c>
      <c r="E52" s="67" t="s">
        <v>101</v>
      </c>
      <c r="F52" s="68" t="s">
        <v>70</v>
      </c>
      <c r="G52" s="69">
        <v>13</v>
      </c>
      <c r="H52" s="70">
        <v>71500000</v>
      </c>
      <c r="I52" s="15">
        <v>70785000</v>
      </c>
      <c r="J52" s="16">
        <v>45919</v>
      </c>
      <c r="K52" s="66" t="s">
        <v>71</v>
      </c>
      <c r="L52" s="30"/>
      <c r="M52" s="31"/>
    </row>
    <row r="53" spans="1:13" s="32" customFormat="1" ht="32.1" customHeight="1">
      <c r="A53" s="9" t="str">
        <f t="shared" si="0"/>
        <v>25-51</v>
      </c>
      <c r="B53" s="9" t="s">
        <v>17</v>
      </c>
      <c r="C53" s="9" t="s">
        <v>95</v>
      </c>
      <c r="D53" s="66" t="s">
        <v>96</v>
      </c>
      <c r="E53" s="67" t="s">
        <v>102</v>
      </c>
      <c r="F53" s="68" t="s">
        <v>70</v>
      </c>
      <c r="G53" s="69">
        <v>1</v>
      </c>
      <c r="H53" s="70">
        <v>3300000</v>
      </c>
      <c r="I53" s="15">
        <v>3300000</v>
      </c>
      <c r="J53" s="16">
        <v>45919</v>
      </c>
      <c r="K53" s="66" t="s">
        <v>71</v>
      </c>
      <c r="L53" s="30"/>
      <c r="M53" s="55"/>
    </row>
    <row r="54" spans="1:13" s="32" customFormat="1" ht="32.1" customHeight="1">
      <c r="A54" s="9" t="str">
        <f t="shared" si="0"/>
        <v>25-52</v>
      </c>
      <c r="B54" s="9" t="s">
        <v>17</v>
      </c>
      <c r="C54" s="9" t="s">
        <v>95</v>
      </c>
      <c r="D54" s="66" t="s">
        <v>96</v>
      </c>
      <c r="E54" s="67" t="s">
        <v>103</v>
      </c>
      <c r="F54" s="68" t="s">
        <v>70</v>
      </c>
      <c r="G54" s="69">
        <v>1</v>
      </c>
      <c r="H54" s="70">
        <v>29000000</v>
      </c>
      <c r="I54" s="15">
        <v>29000000</v>
      </c>
      <c r="J54" s="16">
        <v>45919</v>
      </c>
      <c r="K54" s="66" t="s">
        <v>71</v>
      </c>
      <c r="L54" s="56"/>
      <c r="M54" s="31"/>
    </row>
    <row r="55" spans="1:13" s="25" customFormat="1" ht="32.1" customHeight="1">
      <c r="A55" s="9" t="str">
        <f t="shared" si="0"/>
        <v>25-53</v>
      </c>
      <c r="B55" s="9" t="s">
        <v>17</v>
      </c>
      <c r="C55" s="9" t="s">
        <v>95</v>
      </c>
      <c r="D55" s="66" t="s">
        <v>96</v>
      </c>
      <c r="E55" s="67" t="s">
        <v>104</v>
      </c>
      <c r="F55" s="68" t="s">
        <v>70</v>
      </c>
      <c r="G55" s="69">
        <v>1</v>
      </c>
      <c r="H55" s="70">
        <v>8360000</v>
      </c>
      <c r="I55" s="15">
        <v>8000000</v>
      </c>
      <c r="J55" s="16">
        <v>45919</v>
      </c>
      <c r="K55" s="66" t="s">
        <v>71</v>
      </c>
      <c r="L55" s="30"/>
      <c r="M55" s="55"/>
    </row>
    <row r="56" spans="1:13" s="25" customFormat="1" ht="32.1" customHeight="1">
      <c r="A56" s="9" t="str">
        <f t="shared" si="0"/>
        <v>25-54</v>
      </c>
      <c r="B56" s="9" t="s">
        <v>17</v>
      </c>
      <c r="C56" s="9" t="s">
        <v>95</v>
      </c>
      <c r="D56" s="66" t="s">
        <v>96</v>
      </c>
      <c r="E56" s="67" t="s">
        <v>105</v>
      </c>
      <c r="F56" s="68" t="s">
        <v>70</v>
      </c>
      <c r="G56" s="69">
        <v>64</v>
      </c>
      <c r="H56" s="70">
        <v>151424000</v>
      </c>
      <c r="I56" s="15">
        <v>151424000</v>
      </c>
      <c r="J56" s="16">
        <v>45919</v>
      </c>
      <c r="K56" s="66" t="s">
        <v>71</v>
      </c>
      <c r="L56" s="56"/>
      <c r="M56" s="31"/>
    </row>
    <row r="57" spans="1:13" s="32" customFormat="1" ht="32.1" customHeight="1">
      <c r="A57" s="9" t="str">
        <f t="shared" si="0"/>
        <v>25-55</v>
      </c>
      <c r="B57" s="9" t="s">
        <v>17</v>
      </c>
      <c r="C57" s="9" t="s">
        <v>95</v>
      </c>
      <c r="D57" s="66" t="s">
        <v>96</v>
      </c>
      <c r="E57" s="67" t="s">
        <v>106</v>
      </c>
      <c r="F57" s="68" t="s">
        <v>70</v>
      </c>
      <c r="G57" s="69">
        <v>1</v>
      </c>
      <c r="H57" s="70">
        <v>1600000</v>
      </c>
      <c r="I57" s="15">
        <v>1600000</v>
      </c>
      <c r="J57" s="16">
        <v>45919</v>
      </c>
      <c r="K57" s="66" t="s">
        <v>71</v>
      </c>
      <c r="L57" s="30"/>
      <c r="M57" s="55"/>
    </row>
    <row r="58" spans="1:13" s="32" customFormat="1" ht="32.1" customHeight="1">
      <c r="A58" s="9" t="str">
        <f t="shared" si="0"/>
        <v>25-56</v>
      </c>
      <c r="B58" s="9" t="s">
        <v>17</v>
      </c>
      <c r="C58" s="9" t="s">
        <v>95</v>
      </c>
      <c r="D58" s="66" t="s">
        <v>96</v>
      </c>
      <c r="E58" s="67" t="s">
        <v>107</v>
      </c>
      <c r="F58" s="68" t="s">
        <v>70</v>
      </c>
      <c r="G58" s="69">
        <v>6</v>
      </c>
      <c r="H58" s="70">
        <v>18000000</v>
      </c>
      <c r="I58" s="15">
        <v>18000000</v>
      </c>
      <c r="J58" s="16">
        <v>45919</v>
      </c>
      <c r="K58" s="66" t="s">
        <v>71</v>
      </c>
      <c r="L58" s="56"/>
      <c r="M58" s="31"/>
    </row>
    <row r="59" spans="1:13" s="32" customFormat="1" ht="32.1" customHeight="1">
      <c r="A59" s="9" t="str">
        <f t="shared" si="0"/>
        <v>25-57</v>
      </c>
      <c r="B59" s="9" t="s">
        <v>17</v>
      </c>
      <c r="C59" s="9" t="s">
        <v>95</v>
      </c>
      <c r="D59" s="66" t="s">
        <v>96</v>
      </c>
      <c r="E59" s="67" t="s">
        <v>108</v>
      </c>
      <c r="F59" s="68" t="s">
        <v>70</v>
      </c>
      <c r="G59" s="69">
        <v>1</v>
      </c>
      <c r="H59" s="70">
        <v>98000000</v>
      </c>
      <c r="I59" s="15">
        <v>97000000</v>
      </c>
      <c r="J59" s="16">
        <v>45919</v>
      </c>
      <c r="K59" s="66" t="s">
        <v>71</v>
      </c>
      <c r="L59" s="30"/>
      <c r="M59" s="55"/>
    </row>
    <row r="60" spans="1:13" s="32" customFormat="1" ht="32.1" customHeight="1">
      <c r="A60" s="9" t="str">
        <f t="shared" si="0"/>
        <v>25-58</v>
      </c>
      <c r="B60" s="9" t="s">
        <v>17</v>
      </c>
      <c r="C60" s="9" t="s">
        <v>95</v>
      </c>
      <c r="D60" s="66" t="s">
        <v>96</v>
      </c>
      <c r="E60" s="67" t="s">
        <v>109</v>
      </c>
      <c r="F60" s="68" t="s">
        <v>70</v>
      </c>
      <c r="G60" s="69">
        <v>10</v>
      </c>
      <c r="H60" s="70">
        <v>540000000</v>
      </c>
      <c r="I60" s="15">
        <v>540000000</v>
      </c>
      <c r="J60" s="16">
        <v>45919</v>
      </c>
      <c r="K60" s="66" t="s">
        <v>71</v>
      </c>
      <c r="L60" s="56"/>
      <c r="M60" s="31"/>
    </row>
    <row r="61" spans="1:13" s="42" customFormat="1" ht="32.1" customHeight="1">
      <c r="A61" s="9" t="str">
        <f t="shared" si="0"/>
        <v>25-59</v>
      </c>
      <c r="B61" s="9" t="s">
        <v>17</v>
      </c>
      <c r="C61" s="9" t="s">
        <v>95</v>
      </c>
      <c r="D61" s="66" t="s">
        <v>96</v>
      </c>
      <c r="E61" s="67" t="s">
        <v>110</v>
      </c>
      <c r="F61" s="68" t="s">
        <v>70</v>
      </c>
      <c r="G61" s="69">
        <v>1</v>
      </c>
      <c r="H61" s="70">
        <v>35000000</v>
      </c>
      <c r="I61" s="15">
        <v>35000000</v>
      </c>
      <c r="J61" s="16">
        <v>45919</v>
      </c>
      <c r="K61" s="66" t="s">
        <v>71</v>
      </c>
      <c r="L61" s="30"/>
      <c r="M61" s="55"/>
    </row>
    <row r="62" spans="1:13" s="54" customFormat="1" ht="32.1" customHeight="1">
      <c r="A62" s="9" t="str">
        <f t="shared" si="0"/>
        <v>25-60</v>
      </c>
      <c r="B62" s="9" t="s">
        <v>17</v>
      </c>
      <c r="C62" s="9" t="s">
        <v>95</v>
      </c>
      <c r="D62" s="66" t="s">
        <v>96</v>
      </c>
      <c r="E62" s="67" t="s">
        <v>111</v>
      </c>
      <c r="F62" s="68" t="s">
        <v>70</v>
      </c>
      <c r="G62" s="69">
        <v>2</v>
      </c>
      <c r="H62" s="70">
        <v>2900000</v>
      </c>
      <c r="I62" s="15">
        <v>2900000</v>
      </c>
      <c r="J62" s="16">
        <v>45919</v>
      </c>
      <c r="K62" s="66" t="s">
        <v>71</v>
      </c>
      <c r="L62" s="56"/>
      <c r="M62" s="21"/>
    </row>
    <row r="63" spans="1:13" s="40" customFormat="1" ht="32.1" customHeight="1">
      <c r="A63" s="9" t="str">
        <f t="shared" si="0"/>
        <v>25-61</v>
      </c>
      <c r="B63" s="9" t="s">
        <v>17</v>
      </c>
      <c r="C63" s="9" t="s">
        <v>35</v>
      </c>
      <c r="D63" s="33" t="s">
        <v>112</v>
      </c>
      <c r="E63" s="34" t="s">
        <v>113</v>
      </c>
      <c r="F63" s="35" t="s">
        <v>33</v>
      </c>
      <c r="G63" s="36">
        <v>2</v>
      </c>
      <c r="H63" s="37">
        <v>99000000</v>
      </c>
      <c r="I63" s="29">
        <v>99000000</v>
      </c>
      <c r="J63" s="16">
        <v>45912</v>
      </c>
      <c r="K63" s="35" t="s">
        <v>49</v>
      </c>
      <c r="L63" s="56"/>
      <c r="M63" s="21"/>
    </row>
    <row r="64" spans="1:13" s="42" customFormat="1" ht="32.1" customHeight="1">
      <c r="A64" s="9" t="str">
        <f t="shared" si="0"/>
        <v>25-62</v>
      </c>
      <c r="B64" s="9" t="s">
        <v>17</v>
      </c>
      <c r="C64" s="9" t="s">
        <v>35</v>
      </c>
      <c r="D64" s="33" t="s">
        <v>114</v>
      </c>
      <c r="E64" s="34" t="s">
        <v>115</v>
      </c>
      <c r="F64" s="35" t="s">
        <v>21</v>
      </c>
      <c r="G64" s="36">
        <v>2</v>
      </c>
      <c r="H64" s="37">
        <v>140000000</v>
      </c>
      <c r="I64" s="29">
        <v>118000000</v>
      </c>
      <c r="J64" s="16">
        <v>45912</v>
      </c>
      <c r="K64" s="35" t="s">
        <v>49</v>
      </c>
      <c r="L64" s="30"/>
      <c r="M64" s="55"/>
    </row>
    <row r="65" spans="1:13" s="32" customFormat="1" ht="32.1" customHeight="1">
      <c r="A65" s="9" t="str">
        <f t="shared" si="0"/>
        <v>25-63</v>
      </c>
      <c r="B65" s="9" t="s">
        <v>17</v>
      </c>
      <c r="C65" s="9" t="s">
        <v>35</v>
      </c>
      <c r="D65" s="33" t="s">
        <v>116</v>
      </c>
      <c r="E65" s="34" t="s">
        <v>60</v>
      </c>
      <c r="F65" s="35" t="s">
        <v>21</v>
      </c>
      <c r="G65" s="36">
        <v>1</v>
      </c>
      <c r="H65" s="37">
        <v>180000000</v>
      </c>
      <c r="I65" s="29">
        <v>150000000</v>
      </c>
      <c r="J65" s="16">
        <v>45912</v>
      </c>
      <c r="K65" s="35"/>
      <c r="L65" s="20"/>
      <c r="M65" s="31"/>
    </row>
    <row r="66" spans="1:13" s="54" customFormat="1" ht="32.1" customHeight="1">
      <c r="A66" s="9" t="str">
        <f t="shared" si="0"/>
        <v>25-64</v>
      </c>
      <c r="B66" s="9" t="s">
        <v>17</v>
      </c>
      <c r="C66" s="9" t="s">
        <v>35</v>
      </c>
      <c r="D66" s="33" t="s">
        <v>117</v>
      </c>
      <c r="E66" s="34" t="s">
        <v>118</v>
      </c>
      <c r="F66" s="35" t="s">
        <v>21</v>
      </c>
      <c r="G66" s="36">
        <v>1</v>
      </c>
      <c r="H66" s="37">
        <v>36000000</v>
      </c>
      <c r="I66" s="29">
        <v>36000000</v>
      </c>
      <c r="J66" s="16">
        <v>45912</v>
      </c>
      <c r="K66" s="35" t="s">
        <v>49</v>
      </c>
      <c r="L66" s="30"/>
      <c r="M66" s="31"/>
    </row>
    <row r="67" spans="1:13" s="25" customFormat="1" ht="32.1" customHeight="1">
      <c r="A67" s="9" t="str">
        <f t="shared" si="0"/>
        <v>25-65</v>
      </c>
      <c r="B67" s="9" t="s">
        <v>17</v>
      </c>
      <c r="C67" s="9" t="s">
        <v>35</v>
      </c>
      <c r="D67" s="33" t="s">
        <v>47</v>
      </c>
      <c r="E67" s="34" t="s">
        <v>119</v>
      </c>
      <c r="F67" s="35" t="s">
        <v>21</v>
      </c>
      <c r="G67" s="36">
        <v>1</v>
      </c>
      <c r="H67" s="37">
        <v>190000000</v>
      </c>
      <c r="I67" s="29">
        <v>139500000</v>
      </c>
      <c r="J67" s="16">
        <v>45912</v>
      </c>
      <c r="K67" s="35" t="s">
        <v>49</v>
      </c>
      <c r="L67" s="20"/>
      <c r="M67" s="31"/>
    </row>
    <row r="68" spans="1:13" s="25" customFormat="1" ht="32.1" customHeight="1">
      <c r="A68" s="9" t="str">
        <f t="shared" ref="A68:A131" si="1">CONCATENATE("25-",ROW()-ROW($A$2))</f>
        <v>25-66</v>
      </c>
      <c r="B68" s="9" t="s">
        <v>17</v>
      </c>
      <c r="C68" s="9" t="s">
        <v>120</v>
      </c>
      <c r="D68" s="10" t="s">
        <v>121</v>
      </c>
      <c r="E68" s="11" t="s">
        <v>122</v>
      </c>
      <c r="F68" s="12" t="s">
        <v>123</v>
      </c>
      <c r="G68" s="13">
        <v>1</v>
      </c>
      <c r="H68" s="72">
        <v>4740000</v>
      </c>
      <c r="I68" s="73">
        <v>4730000</v>
      </c>
      <c r="J68" s="16">
        <v>45947</v>
      </c>
      <c r="K68" s="12"/>
      <c r="L68" s="74" t="s">
        <v>124</v>
      </c>
      <c r="M68" s="31"/>
    </row>
    <row r="69" spans="1:13" s="32" customFormat="1" ht="32.1" customHeight="1">
      <c r="A69" s="9" t="str">
        <f t="shared" si="1"/>
        <v>25-67</v>
      </c>
      <c r="B69" s="9" t="s">
        <v>17</v>
      </c>
      <c r="C69" s="9" t="s">
        <v>120</v>
      </c>
      <c r="D69" s="75" t="s">
        <v>125</v>
      </c>
      <c r="E69" s="76" t="s">
        <v>126</v>
      </c>
      <c r="F69" s="60" t="s">
        <v>127</v>
      </c>
      <c r="G69" s="77">
        <v>1</v>
      </c>
      <c r="H69" s="78">
        <v>31350000</v>
      </c>
      <c r="I69" s="73">
        <v>30800000</v>
      </c>
      <c r="J69" s="16">
        <v>45952</v>
      </c>
      <c r="K69" s="79" t="s">
        <v>128</v>
      </c>
      <c r="L69" s="74" t="s">
        <v>124</v>
      </c>
      <c r="M69" s="31"/>
    </row>
    <row r="70" spans="1:13" s="54" customFormat="1" ht="32.1" customHeight="1">
      <c r="A70" s="9" t="str">
        <f t="shared" si="1"/>
        <v>25-68</v>
      </c>
      <c r="B70" s="9" t="s">
        <v>17</v>
      </c>
      <c r="C70" s="9" t="s">
        <v>120</v>
      </c>
      <c r="D70" s="75" t="s">
        <v>125</v>
      </c>
      <c r="E70" s="76" t="s">
        <v>129</v>
      </c>
      <c r="F70" s="60" t="s">
        <v>127</v>
      </c>
      <c r="G70" s="77">
        <v>4</v>
      </c>
      <c r="H70" s="78">
        <v>6600000</v>
      </c>
      <c r="I70" s="73">
        <v>5720000</v>
      </c>
      <c r="J70" s="16">
        <v>45952</v>
      </c>
      <c r="K70" s="79" t="s">
        <v>128</v>
      </c>
      <c r="L70" s="74" t="s">
        <v>124</v>
      </c>
      <c r="M70" s="31"/>
    </row>
    <row r="71" spans="1:13" s="54" customFormat="1" ht="32.1" customHeight="1">
      <c r="A71" s="9" t="str">
        <f t="shared" si="1"/>
        <v>25-69</v>
      </c>
      <c r="B71" s="9" t="s">
        <v>17</v>
      </c>
      <c r="C71" s="9" t="s">
        <v>120</v>
      </c>
      <c r="D71" s="75" t="s">
        <v>125</v>
      </c>
      <c r="E71" s="76" t="s">
        <v>130</v>
      </c>
      <c r="F71" s="60" t="s">
        <v>127</v>
      </c>
      <c r="G71" s="77">
        <v>2</v>
      </c>
      <c r="H71" s="78">
        <v>1056000</v>
      </c>
      <c r="I71" s="73">
        <v>1056000</v>
      </c>
      <c r="J71" s="16">
        <v>45952</v>
      </c>
      <c r="K71" s="79" t="s">
        <v>128</v>
      </c>
      <c r="L71" s="74" t="s">
        <v>124</v>
      </c>
      <c r="M71" s="31"/>
    </row>
    <row r="72" spans="1:13" s="19" customFormat="1" ht="32.1" customHeight="1">
      <c r="A72" s="9" t="str">
        <f t="shared" si="1"/>
        <v>25-70</v>
      </c>
      <c r="B72" s="9" t="s">
        <v>17</v>
      </c>
      <c r="C72" s="9" t="s">
        <v>120</v>
      </c>
      <c r="D72" s="75" t="s">
        <v>125</v>
      </c>
      <c r="E72" s="76" t="s">
        <v>131</v>
      </c>
      <c r="F72" s="60" t="s">
        <v>127</v>
      </c>
      <c r="G72" s="77">
        <v>1</v>
      </c>
      <c r="H72" s="78">
        <v>5280000</v>
      </c>
      <c r="I72" s="73">
        <v>4409350</v>
      </c>
      <c r="J72" s="16">
        <v>45952</v>
      </c>
      <c r="K72" s="79" t="s">
        <v>128</v>
      </c>
      <c r="L72" s="74" t="s">
        <v>124</v>
      </c>
      <c r="M72" s="31"/>
    </row>
    <row r="73" spans="1:13" s="19" customFormat="1" ht="32.1" customHeight="1">
      <c r="A73" s="9" t="str">
        <f t="shared" si="1"/>
        <v>25-71</v>
      </c>
      <c r="B73" s="9" t="s">
        <v>17</v>
      </c>
      <c r="C73" s="9" t="s">
        <v>120</v>
      </c>
      <c r="D73" s="75" t="s">
        <v>125</v>
      </c>
      <c r="E73" s="76" t="s">
        <v>132</v>
      </c>
      <c r="F73" s="60" t="s">
        <v>127</v>
      </c>
      <c r="G73" s="77">
        <v>2</v>
      </c>
      <c r="H73" s="78">
        <v>9687000</v>
      </c>
      <c r="I73" s="73">
        <v>9680000</v>
      </c>
      <c r="J73" s="16">
        <v>45952</v>
      </c>
      <c r="K73" s="79" t="s">
        <v>128</v>
      </c>
      <c r="L73" s="74" t="s">
        <v>124</v>
      </c>
      <c r="M73" s="31"/>
    </row>
    <row r="74" spans="1:13" s="32" customFormat="1" ht="32.1" customHeight="1">
      <c r="A74" s="9" t="str">
        <f t="shared" si="1"/>
        <v>25-72</v>
      </c>
      <c r="B74" s="9" t="s">
        <v>17</v>
      </c>
      <c r="C74" s="9" t="s">
        <v>120</v>
      </c>
      <c r="D74" s="75" t="s">
        <v>125</v>
      </c>
      <c r="E74" s="76" t="s">
        <v>133</v>
      </c>
      <c r="F74" s="60" t="s">
        <v>127</v>
      </c>
      <c r="G74" s="77">
        <v>1</v>
      </c>
      <c r="H74" s="78">
        <v>17600000</v>
      </c>
      <c r="I74" s="73">
        <v>17052640</v>
      </c>
      <c r="J74" s="16">
        <v>45952</v>
      </c>
      <c r="K74" s="79" t="s">
        <v>128</v>
      </c>
      <c r="L74" s="74" t="s">
        <v>124</v>
      </c>
      <c r="M74" s="31"/>
    </row>
    <row r="75" spans="1:13" s="32" customFormat="1" ht="32.1" customHeight="1">
      <c r="A75" s="9" t="str">
        <f t="shared" si="1"/>
        <v>25-73</v>
      </c>
      <c r="B75" s="9" t="s">
        <v>17</v>
      </c>
      <c r="C75" s="9" t="s">
        <v>120</v>
      </c>
      <c r="D75" s="75" t="s">
        <v>125</v>
      </c>
      <c r="E75" s="76" t="s">
        <v>134</v>
      </c>
      <c r="F75" s="60" t="s">
        <v>127</v>
      </c>
      <c r="G75" s="77">
        <v>1</v>
      </c>
      <c r="H75" s="78">
        <v>19910000</v>
      </c>
      <c r="I75" s="73">
        <v>19800000</v>
      </c>
      <c r="J75" s="16">
        <v>45952</v>
      </c>
      <c r="K75" s="79" t="s">
        <v>128</v>
      </c>
      <c r="L75" s="74" t="s">
        <v>124</v>
      </c>
      <c r="M75" s="31"/>
    </row>
    <row r="76" spans="1:13" s="54" customFormat="1" ht="32.1" customHeight="1">
      <c r="A76" s="9" t="str">
        <f t="shared" si="1"/>
        <v>25-74</v>
      </c>
      <c r="B76" s="9" t="s">
        <v>17</v>
      </c>
      <c r="C76" s="9" t="s">
        <v>120</v>
      </c>
      <c r="D76" s="75" t="s">
        <v>125</v>
      </c>
      <c r="E76" s="76" t="s">
        <v>135</v>
      </c>
      <c r="F76" s="60" t="s">
        <v>127</v>
      </c>
      <c r="G76" s="77">
        <v>1</v>
      </c>
      <c r="H76" s="78">
        <v>22000000</v>
      </c>
      <c r="I76" s="73">
        <v>22000000</v>
      </c>
      <c r="J76" s="16">
        <v>45952</v>
      </c>
      <c r="K76" s="79" t="s">
        <v>128</v>
      </c>
      <c r="L76" s="74" t="s">
        <v>124</v>
      </c>
      <c r="M76" s="31"/>
    </row>
    <row r="77" spans="1:13" s="54" customFormat="1" ht="32.1" customHeight="1">
      <c r="A77" s="9" t="str">
        <f t="shared" si="1"/>
        <v>25-75</v>
      </c>
      <c r="B77" s="9" t="s">
        <v>17</v>
      </c>
      <c r="C77" s="9" t="s">
        <v>35</v>
      </c>
      <c r="D77" s="46" t="s">
        <v>42</v>
      </c>
      <c r="E77" s="47" t="s">
        <v>136</v>
      </c>
      <c r="F77" s="48" t="s">
        <v>21</v>
      </c>
      <c r="G77" s="49">
        <v>1</v>
      </c>
      <c r="H77" s="50">
        <v>115500000</v>
      </c>
      <c r="I77" s="73">
        <v>105600000</v>
      </c>
      <c r="J77" s="16">
        <v>45961</v>
      </c>
      <c r="K77" s="12"/>
      <c r="L77" s="56"/>
      <c r="M77" s="39"/>
    </row>
    <row r="78" spans="1:13" ht="34.5">
      <c r="A78" s="9" t="str">
        <f t="shared" si="1"/>
        <v>25-76</v>
      </c>
      <c r="B78" s="9" t="s">
        <v>17</v>
      </c>
      <c r="C78" s="63" t="s">
        <v>74</v>
      </c>
      <c r="D78" s="80" t="s">
        <v>137</v>
      </c>
      <c r="E78" s="81" t="s">
        <v>138</v>
      </c>
      <c r="F78" s="82" t="s">
        <v>21</v>
      </c>
      <c r="G78" s="82">
        <v>2</v>
      </c>
      <c r="H78" s="83">
        <v>86000000</v>
      </c>
      <c r="I78" s="83"/>
      <c r="J78" s="84">
        <v>45986</v>
      </c>
      <c r="K78" s="85" t="s">
        <v>139</v>
      </c>
      <c r="L78" s="44"/>
    </row>
    <row r="79" spans="1:13" ht="34.5">
      <c r="A79" s="9" t="str">
        <f t="shared" si="1"/>
        <v>25-77</v>
      </c>
      <c r="B79" s="9" t="s">
        <v>17</v>
      </c>
      <c r="C79" s="63" t="s">
        <v>74</v>
      </c>
      <c r="D79" s="80" t="s">
        <v>137</v>
      </c>
      <c r="E79" s="81" t="s">
        <v>140</v>
      </c>
      <c r="F79" s="82" t="s">
        <v>21</v>
      </c>
      <c r="G79" s="82">
        <v>1</v>
      </c>
      <c r="H79" s="83">
        <v>90000000</v>
      </c>
      <c r="I79" s="86">
        <v>89500000</v>
      </c>
      <c r="J79" s="84">
        <v>45986</v>
      </c>
      <c r="K79" s="85" t="s">
        <v>139</v>
      </c>
      <c r="L79" s="44"/>
    </row>
    <row r="80" spans="1:13" ht="34.5">
      <c r="A80" s="9" t="str">
        <f t="shared" si="1"/>
        <v>25-78</v>
      </c>
      <c r="B80" s="9" t="s">
        <v>17</v>
      </c>
      <c r="C80" s="63" t="s">
        <v>74</v>
      </c>
      <c r="D80" s="80" t="s">
        <v>137</v>
      </c>
      <c r="E80" s="81" t="s">
        <v>141</v>
      </c>
      <c r="F80" s="82" t="s">
        <v>21</v>
      </c>
      <c r="G80" s="82">
        <v>2</v>
      </c>
      <c r="H80" s="83">
        <v>14000000</v>
      </c>
      <c r="I80" s="86">
        <v>14000000</v>
      </c>
      <c r="J80" s="84">
        <v>45986</v>
      </c>
      <c r="K80" s="85" t="s">
        <v>139</v>
      </c>
      <c r="L80" s="44"/>
    </row>
    <row r="81" spans="1:13" ht="34.5">
      <c r="A81" s="9" t="str">
        <f t="shared" si="1"/>
        <v>25-79</v>
      </c>
      <c r="B81" s="9" t="s">
        <v>17</v>
      </c>
      <c r="C81" s="63" t="s">
        <v>74</v>
      </c>
      <c r="D81" s="80" t="s">
        <v>137</v>
      </c>
      <c r="E81" s="81" t="s">
        <v>142</v>
      </c>
      <c r="F81" s="82" t="s">
        <v>21</v>
      </c>
      <c r="G81" s="82">
        <v>1</v>
      </c>
      <c r="H81" s="83">
        <v>10000000</v>
      </c>
      <c r="I81" s="86">
        <v>9900000</v>
      </c>
      <c r="J81" s="84">
        <v>45986</v>
      </c>
      <c r="K81" s="85" t="s">
        <v>139</v>
      </c>
      <c r="L81" s="44"/>
    </row>
    <row r="82" spans="1:13" s="54" customFormat="1" ht="32.1" customHeight="1">
      <c r="A82" s="9" t="str">
        <f t="shared" si="1"/>
        <v>25-80</v>
      </c>
      <c r="B82" s="9" t="s">
        <v>17</v>
      </c>
      <c r="C82" s="9" t="s">
        <v>95</v>
      </c>
      <c r="D82" s="66" t="s">
        <v>143</v>
      </c>
      <c r="E82" s="67" t="s">
        <v>144</v>
      </c>
      <c r="F82" s="87" t="s">
        <v>145</v>
      </c>
      <c r="G82" s="69">
        <v>1</v>
      </c>
      <c r="H82" s="70">
        <v>16500000</v>
      </c>
      <c r="I82" s="88">
        <v>16500000</v>
      </c>
      <c r="J82" s="89">
        <v>45978</v>
      </c>
      <c r="K82" s="66" t="s">
        <v>146</v>
      </c>
      <c r="L82" s="44"/>
      <c r="M82" s="31"/>
    </row>
    <row r="83" spans="1:13" s="54" customFormat="1" ht="32.1" customHeight="1">
      <c r="A83" s="9" t="str">
        <f t="shared" si="1"/>
        <v>25-81</v>
      </c>
      <c r="B83" s="9" t="s">
        <v>17</v>
      </c>
      <c r="C83" s="9" t="s">
        <v>95</v>
      </c>
      <c r="D83" s="66" t="s">
        <v>143</v>
      </c>
      <c r="E83" s="90" t="s">
        <v>147</v>
      </c>
      <c r="F83" s="87" t="s">
        <v>145</v>
      </c>
      <c r="G83" s="91">
        <v>1</v>
      </c>
      <c r="H83" s="92">
        <v>1300000</v>
      </c>
      <c r="I83" s="88">
        <v>1300000</v>
      </c>
      <c r="J83" s="89">
        <v>45978</v>
      </c>
      <c r="K83" s="66" t="s">
        <v>146</v>
      </c>
      <c r="L83" s="44"/>
      <c r="M83" s="55"/>
    </row>
    <row r="84" spans="1:13" s="54" customFormat="1" ht="32.1" customHeight="1">
      <c r="A84" s="9" t="str">
        <f t="shared" si="1"/>
        <v>25-82</v>
      </c>
      <c r="B84" s="9" t="s">
        <v>17</v>
      </c>
      <c r="C84" s="9" t="s">
        <v>95</v>
      </c>
      <c r="D84" s="66" t="s">
        <v>143</v>
      </c>
      <c r="E84" s="67" t="s">
        <v>148</v>
      </c>
      <c r="F84" s="87" t="s">
        <v>145</v>
      </c>
      <c r="G84" s="69">
        <v>1</v>
      </c>
      <c r="H84" s="70">
        <v>8800000</v>
      </c>
      <c r="I84" s="88">
        <v>8800000</v>
      </c>
      <c r="J84" s="89">
        <v>45978</v>
      </c>
      <c r="K84" s="66" t="s">
        <v>146</v>
      </c>
      <c r="L84" s="44"/>
      <c r="M84" s="31"/>
    </row>
    <row r="85" spans="1:13" s="54" customFormat="1" ht="32.1" customHeight="1">
      <c r="A85" s="9" t="str">
        <f t="shared" si="1"/>
        <v>25-83</v>
      </c>
      <c r="B85" s="9" t="s">
        <v>17</v>
      </c>
      <c r="C85" s="9" t="s">
        <v>95</v>
      </c>
      <c r="D85" s="66" t="s">
        <v>143</v>
      </c>
      <c r="E85" s="67" t="s">
        <v>149</v>
      </c>
      <c r="F85" s="87" t="s">
        <v>145</v>
      </c>
      <c r="G85" s="69">
        <v>5</v>
      </c>
      <c r="H85" s="70">
        <v>14500000</v>
      </c>
      <c r="I85" s="88">
        <v>14500000</v>
      </c>
      <c r="J85" s="89">
        <v>45978</v>
      </c>
      <c r="K85" s="66" t="s">
        <v>146</v>
      </c>
      <c r="L85" s="44"/>
      <c r="M85" s="31"/>
    </row>
    <row r="86" spans="1:13" s="32" customFormat="1" ht="32.1" customHeight="1">
      <c r="A86" s="9" t="str">
        <f t="shared" si="1"/>
        <v>25-84</v>
      </c>
      <c r="B86" s="9" t="s">
        <v>17</v>
      </c>
      <c r="C86" s="9" t="s">
        <v>95</v>
      </c>
      <c r="D86" s="66" t="s">
        <v>143</v>
      </c>
      <c r="E86" s="67" t="s">
        <v>20</v>
      </c>
      <c r="F86" s="87" t="s">
        <v>145</v>
      </c>
      <c r="G86" s="69">
        <v>1</v>
      </c>
      <c r="H86" s="93" t="s">
        <v>150</v>
      </c>
      <c r="I86" s="94" t="s">
        <v>151</v>
      </c>
      <c r="J86" s="89">
        <v>45978</v>
      </c>
      <c r="K86" s="66" t="s">
        <v>146</v>
      </c>
      <c r="L86" s="44"/>
      <c r="M86" s="55"/>
    </row>
    <row r="87" spans="1:13" s="32" customFormat="1" ht="32.1" customHeight="1">
      <c r="A87" s="9" t="str">
        <f t="shared" si="1"/>
        <v>25-85</v>
      </c>
      <c r="B87" s="9" t="s">
        <v>17</v>
      </c>
      <c r="C87" s="9" t="s">
        <v>95</v>
      </c>
      <c r="D87" s="66" t="s">
        <v>143</v>
      </c>
      <c r="E87" s="67" t="s">
        <v>152</v>
      </c>
      <c r="F87" s="87" t="s">
        <v>145</v>
      </c>
      <c r="G87" s="69">
        <v>13</v>
      </c>
      <c r="H87" s="70">
        <v>1820000</v>
      </c>
      <c r="I87" s="94" t="s">
        <v>151</v>
      </c>
      <c r="J87" s="89">
        <v>45978</v>
      </c>
      <c r="K87" s="66" t="s">
        <v>146</v>
      </c>
      <c r="L87" s="44"/>
      <c r="M87" s="55"/>
    </row>
    <row r="88" spans="1:13" s="54" customFormat="1" ht="32.1" customHeight="1">
      <c r="A88" s="9" t="str">
        <f t="shared" si="1"/>
        <v>25-86</v>
      </c>
      <c r="B88" s="9" t="s">
        <v>17</v>
      </c>
      <c r="C88" s="9" t="s">
        <v>95</v>
      </c>
      <c r="D88" s="66" t="s">
        <v>143</v>
      </c>
      <c r="E88" s="67" t="s">
        <v>153</v>
      </c>
      <c r="F88" s="87" t="s">
        <v>145</v>
      </c>
      <c r="G88" s="69">
        <v>1</v>
      </c>
      <c r="H88" s="70">
        <v>2420000</v>
      </c>
      <c r="I88" s="88">
        <v>2420000</v>
      </c>
      <c r="J88" s="89">
        <v>45978</v>
      </c>
      <c r="K88" s="66" t="s">
        <v>146</v>
      </c>
      <c r="L88" s="44"/>
      <c r="M88" s="31"/>
    </row>
    <row r="89" spans="1:13" s="32" customFormat="1" ht="32.1" customHeight="1">
      <c r="A89" s="9" t="str">
        <f t="shared" si="1"/>
        <v>25-87</v>
      </c>
      <c r="B89" s="9" t="s">
        <v>17</v>
      </c>
      <c r="C89" s="9" t="s">
        <v>95</v>
      </c>
      <c r="D89" s="66" t="s">
        <v>143</v>
      </c>
      <c r="E89" s="67" t="s">
        <v>154</v>
      </c>
      <c r="F89" s="87" t="s">
        <v>145</v>
      </c>
      <c r="G89" s="69">
        <v>1</v>
      </c>
      <c r="H89" s="70">
        <v>33000000</v>
      </c>
      <c r="I89" s="88">
        <v>33000000</v>
      </c>
      <c r="J89" s="89">
        <v>45978</v>
      </c>
      <c r="K89" s="66" t="s">
        <v>146</v>
      </c>
      <c r="L89" s="44"/>
      <c r="M89" s="55"/>
    </row>
    <row r="90" spans="1:13" s="32" customFormat="1" ht="32.1" customHeight="1">
      <c r="A90" s="9" t="str">
        <f t="shared" si="1"/>
        <v>25-88</v>
      </c>
      <c r="B90" s="9" t="s">
        <v>17</v>
      </c>
      <c r="C90" s="9" t="s">
        <v>95</v>
      </c>
      <c r="D90" s="66" t="s">
        <v>143</v>
      </c>
      <c r="E90" s="67" t="s">
        <v>155</v>
      </c>
      <c r="F90" s="87" t="s">
        <v>145</v>
      </c>
      <c r="G90" s="69">
        <v>1</v>
      </c>
      <c r="H90" s="70">
        <v>11500000</v>
      </c>
      <c r="I90" s="88">
        <v>0</v>
      </c>
      <c r="J90" s="89">
        <v>45978</v>
      </c>
      <c r="K90" s="66" t="s">
        <v>146</v>
      </c>
      <c r="L90" s="44" t="s">
        <v>156</v>
      </c>
      <c r="M90" s="55"/>
    </row>
    <row r="91" spans="1:13" s="32" customFormat="1" ht="32.1" customHeight="1">
      <c r="A91" s="9" t="str">
        <f t="shared" si="1"/>
        <v>25-89</v>
      </c>
      <c r="B91" s="9" t="s">
        <v>17</v>
      </c>
      <c r="C91" s="9" t="s">
        <v>35</v>
      </c>
      <c r="D91" s="46" t="s">
        <v>157</v>
      </c>
      <c r="E91" s="47" t="s">
        <v>158</v>
      </c>
      <c r="F91" s="48" t="s">
        <v>21</v>
      </c>
      <c r="G91" s="49">
        <v>1</v>
      </c>
      <c r="H91" s="50">
        <v>143000000</v>
      </c>
      <c r="I91" s="73">
        <v>78000000</v>
      </c>
      <c r="J91" s="95">
        <v>45981</v>
      </c>
      <c r="K91" s="12" t="s">
        <v>159</v>
      </c>
      <c r="L91" s="44"/>
      <c r="M91" s="55"/>
    </row>
    <row r="92" spans="1:13" s="40" customFormat="1" ht="32.1" customHeight="1">
      <c r="A92" s="9" t="str">
        <f t="shared" si="1"/>
        <v>25-90</v>
      </c>
      <c r="B92" s="9" t="s">
        <v>17</v>
      </c>
      <c r="C92" s="9" t="s">
        <v>35</v>
      </c>
      <c r="D92" s="46" t="s">
        <v>116</v>
      </c>
      <c r="E92" s="47" t="s">
        <v>160</v>
      </c>
      <c r="F92" s="48" t="s">
        <v>38</v>
      </c>
      <c r="G92" s="49">
        <v>1</v>
      </c>
      <c r="H92" s="50">
        <v>19000000</v>
      </c>
      <c r="I92" s="73">
        <v>18000000</v>
      </c>
      <c r="J92" s="96">
        <v>46008</v>
      </c>
      <c r="K92" s="12" t="s">
        <v>159</v>
      </c>
      <c r="L92" s="30"/>
      <c r="M92" s="31"/>
    </row>
    <row r="93" spans="1:13" ht="44.25" customHeight="1">
      <c r="A93" s="9" t="str">
        <f t="shared" si="1"/>
        <v>25-91</v>
      </c>
      <c r="B93" s="9" t="s">
        <v>17</v>
      </c>
      <c r="C93" s="63" t="s">
        <v>74</v>
      </c>
      <c r="D93" s="97" t="s">
        <v>47</v>
      </c>
      <c r="E93" s="98" t="s">
        <v>161</v>
      </c>
      <c r="F93" s="99" t="s">
        <v>21</v>
      </c>
      <c r="G93" s="99">
        <v>1</v>
      </c>
      <c r="H93" s="100">
        <v>15500000</v>
      </c>
      <c r="I93" s="73">
        <v>15500000</v>
      </c>
      <c r="J93" s="96">
        <v>46008</v>
      </c>
      <c r="K93" s="12" t="s">
        <v>159</v>
      </c>
      <c r="L93" s="20"/>
    </row>
    <row r="94" spans="1:13" s="32" customFormat="1" ht="32.1" customHeight="1">
      <c r="A94" s="9" t="str">
        <f t="shared" si="1"/>
        <v>25-92</v>
      </c>
      <c r="B94" s="9" t="s">
        <v>86</v>
      </c>
      <c r="C94" s="9" t="s">
        <v>35</v>
      </c>
      <c r="D94" s="46" t="s">
        <v>19</v>
      </c>
      <c r="E94" s="47" t="s">
        <v>162</v>
      </c>
      <c r="F94" s="48" t="s">
        <v>21</v>
      </c>
      <c r="G94" s="49">
        <v>2</v>
      </c>
      <c r="H94" s="101" t="s">
        <v>22</v>
      </c>
      <c r="I94" s="101" t="s">
        <v>22</v>
      </c>
      <c r="J94" s="89">
        <v>46202</v>
      </c>
      <c r="K94" s="102" t="s">
        <v>163</v>
      </c>
      <c r="L94" s="44"/>
      <c r="M94" s="45"/>
    </row>
    <row r="95" spans="1:13" s="54" customFormat="1" ht="32.1" customHeight="1">
      <c r="A95" s="9" t="str">
        <f t="shared" si="1"/>
        <v>25-93</v>
      </c>
      <c r="B95" s="9" t="s">
        <v>86</v>
      </c>
      <c r="C95" s="9" t="s">
        <v>35</v>
      </c>
      <c r="D95" s="46" t="s">
        <v>164</v>
      </c>
      <c r="E95" s="47" t="s">
        <v>162</v>
      </c>
      <c r="F95" s="48" t="s">
        <v>21</v>
      </c>
      <c r="G95" s="49">
        <v>1</v>
      </c>
      <c r="H95" s="101" t="s">
        <v>22</v>
      </c>
      <c r="I95" s="101" t="s">
        <v>22</v>
      </c>
      <c r="J95" s="89">
        <v>46202</v>
      </c>
      <c r="K95" s="102" t="s">
        <v>163</v>
      </c>
      <c r="L95" s="44"/>
      <c r="M95" s="39"/>
    </row>
    <row r="96" spans="1:13" s="42" customFormat="1" ht="32.1" customHeight="1">
      <c r="A96" s="9" t="str">
        <f t="shared" si="1"/>
        <v>25-94</v>
      </c>
      <c r="B96" s="9" t="s">
        <v>17</v>
      </c>
      <c r="C96" s="9" t="s">
        <v>35</v>
      </c>
      <c r="D96" s="10" t="s">
        <v>114</v>
      </c>
      <c r="E96" s="11" t="s">
        <v>165</v>
      </c>
      <c r="F96" s="26" t="s">
        <v>38</v>
      </c>
      <c r="G96" s="27">
        <v>1</v>
      </c>
      <c r="H96" s="28">
        <v>16000000</v>
      </c>
      <c r="I96" s="23">
        <v>16000000</v>
      </c>
      <c r="J96" s="96">
        <v>46015</v>
      </c>
      <c r="K96" s="12"/>
      <c r="L96" s="20"/>
      <c r="M96" s="21"/>
    </row>
    <row r="97" spans="1:13" s="40" customFormat="1" ht="32.1" customHeight="1">
      <c r="A97" s="9" t="str">
        <f t="shared" si="1"/>
        <v>25-95</v>
      </c>
      <c r="B97" s="9" t="s">
        <v>17</v>
      </c>
      <c r="C97" s="9" t="s">
        <v>35</v>
      </c>
      <c r="D97" s="46" t="s">
        <v>166</v>
      </c>
      <c r="E97" s="47" t="s">
        <v>167</v>
      </c>
      <c r="F97" s="48" t="s">
        <v>21</v>
      </c>
      <c r="G97" s="49">
        <v>1</v>
      </c>
      <c r="H97" s="50">
        <v>198000000</v>
      </c>
      <c r="I97" s="23">
        <v>169000000</v>
      </c>
      <c r="J97" s="95">
        <v>46111</v>
      </c>
      <c r="K97" s="12"/>
      <c r="L97" s="30"/>
      <c r="M97" s="31"/>
    </row>
    <row r="98" spans="1:13" s="54" customFormat="1" ht="32.1" customHeight="1">
      <c r="A98" s="9" t="str">
        <f t="shared" si="1"/>
        <v>25-96</v>
      </c>
      <c r="B98" s="9" t="s">
        <v>17</v>
      </c>
      <c r="C98" s="9" t="s">
        <v>35</v>
      </c>
      <c r="D98" s="46" t="s">
        <v>166</v>
      </c>
      <c r="E98" s="47" t="s">
        <v>168</v>
      </c>
      <c r="F98" s="48" t="s">
        <v>21</v>
      </c>
      <c r="G98" s="49">
        <v>1</v>
      </c>
      <c r="H98" s="101" t="s">
        <v>22</v>
      </c>
      <c r="I98" s="101" t="s">
        <v>22</v>
      </c>
      <c r="J98" s="89">
        <v>46195</v>
      </c>
      <c r="K98" s="102" t="s">
        <v>163</v>
      </c>
      <c r="L98" s="30" t="s">
        <v>169</v>
      </c>
      <c r="M98" s="31"/>
    </row>
    <row r="99" spans="1:13" s="42" customFormat="1" ht="32.1" customHeight="1">
      <c r="A99" s="9" t="str">
        <f t="shared" si="1"/>
        <v>25-97</v>
      </c>
      <c r="B99" s="9" t="s">
        <v>17</v>
      </c>
      <c r="C99" s="9" t="s">
        <v>35</v>
      </c>
      <c r="D99" s="46" t="s">
        <v>170</v>
      </c>
      <c r="E99" s="47" t="s">
        <v>171</v>
      </c>
      <c r="F99" s="48" t="s">
        <v>33</v>
      </c>
      <c r="G99" s="49">
        <v>1</v>
      </c>
      <c r="H99" s="50">
        <v>29800000</v>
      </c>
      <c r="I99" s="73">
        <v>29800000</v>
      </c>
      <c r="J99" s="95">
        <v>46090</v>
      </c>
      <c r="K99" s="12"/>
      <c r="L99" s="44"/>
      <c r="M99" s="31"/>
    </row>
    <row r="100" spans="1:13" s="32" customFormat="1" ht="32.1" customHeight="1">
      <c r="A100" s="9" t="str">
        <f t="shared" si="1"/>
        <v>25-98</v>
      </c>
      <c r="B100" s="9" t="s">
        <v>17</v>
      </c>
      <c r="C100" s="9" t="s">
        <v>35</v>
      </c>
      <c r="D100" s="46" t="s">
        <v>172</v>
      </c>
      <c r="E100" s="47" t="s">
        <v>173</v>
      </c>
      <c r="F100" s="48" t="s">
        <v>21</v>
      </c>
      <c r="G100" s="49">
        <v>1</v>
      </c>
      <c r="H100" s="50">
        <v>87000000</v>
      </c>
      <c r="I100" s="73">
        <v>87000000</v>
      </c>
      <c r="J100" s="95">
        <v>46112</v>
      </c>
      <c r="K100" s="12"/>
      <c r="L100" s="56"/>
      <c r="M100" s="45"/>
    </row>
    <row r="101" spans="1:13" s="54" customFormat="1" ht="32.1" customHeight="1">
      <c r="A101" s="9" t="str">
        <f t="shared" si="1"/>
        <v>25-99</v>
      </c>
      <c r="B101" s="9" t="s">
        <v>17</v>
      </c>
      <c r="C101" s="9" t="s">
        <v>35</v>
      </c>
      <c r="D101" s="10" t="s">
        <v>39</v>
      </c>
      <c r="E101" s="11" t="s">
        <v>174</v>
      </c>
      <c r="F101" s="26" t="s">
        <v>33</v>
      </c>
      <c r="G101" s="27">
        <v>1</v>
      </c>
      <c r="H101" s="28">
        <v>45000000</v>
      </c>
      <c r="I101" s="73">
        <v>44000000</v>
      </c>
      <c r="J101" s="95">
        <v>46112</v>
      </c>
      <c r="K101" s="103" t="s">
        <v>175</v>
      </c>
      <c r="L101" s="20" t="s">
        <v>176</v>
      </c>
      <c r="M101" s="55"/>
    </row>
    <row r="102" spans="1:13" s="25" customFormat="1" ht="32.1" customHeight="1">
      <c r="A102" s="9" t="str">
        <f t="shared" si="1"/>
        <v>25-100</v>
      </c>
      <c r="B102" s="9" t="s">
        <v>17</v>
      </c>
      <c r="C102" s="9" t="s">
        <v>35</v>
      </c>
      <c r="D102" s="46" t="s">
        <v>52</v>
      </c>
      <c r="E102" s="47" t="s">
        <v>177</v>
      </c>
      <c r="F102" s="48" t="s">
        <v>33</v>
      </c>
      <c r="G102" s="49">
        <v>1</v>
      </c>
      <c r="H102" s="50">
        <v>66000000</v>
      </c>
      <c r="I102" s="73">
        <v>66000000</v>
      </c>
      <c r="J102" s="95">
        <v>46181</v>
      </c>
      <c r="K102" s="12" t="s">
        <v>178</v>
      </c>
      <c r="L102" s="20" t="s">
        <v>179</v>
      </c>
      <c r="M102" s="45"/>
    </row>
    <row r="103" spans="1:13" s="40" customFormat="1" ht="32.1" customHeight="1">
      <c r="A103" s="9" t="str">
        <f t="shared" si="1"/>
        <v>25-101</v>
      </c>
      <c r="B103" s="9" t="s">
        <v>17</v>
      </c>
      <c r="C103" s="9" t="s">
        <v>35</v>
      </c>
      <c r="D103" s="46" t="s">
        <v>180</v>
      </c>
      <c r="E103" s="47" t="s">
        <v>181</v>
      </c>
      <c r="F103" s="48" t="s">
        <v>21</v>
      </c>
      <c r="G103" s="49">
        <v>1</v>
      </c>
      <c r="H103" s="50">
        <v>23870000</v>
      </c>
      <c r="I103" s="73">
        <v>19921000</v>
      </c>
      <c r="J103" s="96">
        <v>46008</v>
      </c>
      <c r="K103" s="12"/>
      <c r="L103" s="44"/>
      <c r="M103" s="31"/>
    </row>
    <row r="104" spans="1:13" s="32" customFormat="1" ht="32.1" customHeight="1">
      <c r="A104" s="9" t="str">
        <f t="shared" si="1"/>
        <v>25-102</v>
      </c>
      <c r="B104" s="9" t="s">
        <v>17</v>
      </c>
      <c r="C104" s="9" t="s">
        <v>35</v>
      </c>
      <c r="D104" s="46" t="s">
        <v>182</v>
      </c>
      <c r="E104" s="47" t="s">
        <v>183</v>
      </c>
      <c r="F104" s="48" t="s">
        <v>41</v>
      </c>
      <c r="G104" s="49">
        <v>2</v>
      </c>
      <c r="H104" s="50">
        <v>72000000</v>
      </c>
      <c r="I104" s="73">
        <v>72000000</v>
      </c>
      <c r="J104" s="96">
        <v>46008</v>
      </c>
      <c r="K104" s="12"/>
      <c r="L104" s="30"/>
      <c r="M104" s="21"/>
    </row>
    <row r="105" spans="1:13" s="32" customFormat="1" ht="32.1" customHeight="1">
      <c r="A105" s="9" t="str">
        <f t="shared" si="1"/>
        <v>25-103</v>
      </c>
      <c r="B105" s="9" t="s">
        <v>17</v>
      </c>
      <c r="C105" s="9" t="s">
        <v>35</v>
      </c>
      <c r="D105" s="46" t="s">
        <v>182</v>
      </c>
      <c r="E105" s="47" t="s">
        <v>184</v>
      </c>
      <c r="F105" s="48" t="s">
        <v>41</v>
      </c>
      <c r="G105" s="49">
        <v>1</v>
      </c>
      <c r="H105" s="50">
        <v>44000000</v>
      </c>
      <c r="I105" s="73">
        <v>43900000</v>
      </c>
      <c r="J105" s="96">
        <v>46008</v>
      </c>
      <c r="K105" s="12"/>
      <c r="L105" s="30"/>
      <c r="M105" s="45"/>
    </row>
    <row r="106" spans="1:13" s="32" customFormat="1" ht="32.1" customHeight="1">
      <c r="A106" s="9" t="str">
        <f t="shared" si="1"/>
        <v>25-104</v>
      </c>
      <c r="B106" s="9" t="s">
        <v>185</v>
      </c>
      <c r="C106" s="9" t="s">
        <v>35</v>
      </c>
      <c r="D106" s="10" t="s">
        <v>186</v>
      </c>
      <c r="E106" s="11" t="s">
        <v>187</v>
      </c>
      <c r="F106" s="26" t="s">
        <v>38</v>
      </c>
      <c r="G106" s="27">
        <v>1</v>
      </c>
      <c r="H106" s="28">
        <v>175760000</v>
      </c>
      <c r="I106" s="104"/>
      <c r="J106" s="89" t="s">
        <v>188</v>
      </c>
      <c r="K106" s="102" t="s">
        <v>163</v>
      </c>
      <c r="L106" s="20" t="s">
        <v>189</v>
      </c>
      <c r="M106" s="31"/>
    </row>
    <row r="107" spans="1:13" s="32" customFormat="1" ht="32.1" customHeight="1">
      <c r="A107" s="9" t="str">
        <f t="shared" si="1"/>
        <v>25-105</v>
      </c>
      <c r="B107" s="9" t="s">
        <v>86</v>
      </c>
      <c r="C107" s="9" t="s">
        <v>35</v>
      </c>
      <c r="D107" s="10" t="s">
        <v>186</v>
      </c>
      <c r="E107" s="11" t="s">
        <v>190</v>
      </c>
      <c r="F107" s="26" t="s">
        <v>33</v>
      </c>
      <c r="G107" s="27">
        <v>1</v>
      </c>
      <c r="H107" s="101" t="s">
        <v>22</v>
      </c>
      <c r="I107" s="101" t="s">
        <v>22</v>
      </c>
      <c r="J107" s="89">
        <v>46209</v>
      </c>
      <c r="K107" s="102" t="s">
        <v>163</v>
      </c>
      <c r="L107" s="56"/>
      <c r="M107" s="55"/>
    </row>
    <row r="108" spans="1:13" s="32" customFormat="1" ht="32.1" customHeight="1">
      <c r="A108" s="9" t="str">
        <f t="shared" si="1"/>
        <v>25-106</v>
      </c>
      <c r="B108" s="9" t="s">
        <v>86</v>
      </c>
      <c r="C108" s="9" t="s">
        <v>35</v>
      </c>
      <c r="D108" s="46" t="s">
        <v>19</v>
      </c>
      <c r="E108" s="47" t="s">
        <v>191</v>
      </c>
      <c r="F108" s="48" t="s">
        <v>21</v>
      </c>
      <c r="G108" s="49">
        <v>2</v>
      </c>
      <c r="H108" s="101" t="s">
        <v>22</v>
      </c>
      <c r="I108" s="101" t="s">
        <v>22</v>
      </c>
      <c r="J108" s="89">
        <v>46195</v>
      </c>
      <c r="K108" s="102" t="s">
        <v>163</v>
      </c>
      <c r="L108" s="44" t="s">
        <v>192</v>
      </c>
      <c r="M108" s="39"/>
    </row>
    <row r="109" spans="1:13" s="32" customFormat="1" ht="32.1" customHeight="1">
      <c r="A109" s="9" t="str">
        <f t="shared" si="1"/>
        <v>25-107</v>
      </c>
      <c r="B109" s="9" t="s">
        <v>86</v>
      </c>
      <c r="C109" s="9" t="s">
        <v>35</v>
      </c>
      <c r="D109" s="46" t="s">
        <v>19</v>
      </c>
      <c r="E109" s="47" t="s">
        <v>193</v>
      </c>
      <c r="F109" s="48" t="s">
        <v>21</v>
      </c>
      <c r="G109" s="49">
        <v>1</v>
      </c>
      <c r="H109" s="101" t="s">
        <v>22</v>
      </c>
      <c r="I109" s="101" t="s">
        <v>22</v>
      </c>
      <c r="J109" s="89">
        <v>46202</v>
      </c>
      <c r="K109" s="102" t="s">
        <v>163</v>
      </c>
      <c r="L109" s="30"/>
      <c r="M109" s="55"/>
    </row>
    <row r="110" spans="1:13" s="32" customFormat="1" ht="32.1" customHeight="1">
      <c r="A110" s="9" t="str">
        <f t="shared" si="1"/>
        <v>25-108</v>
      </c>
      <c r="B110" s="9" t="s">
        <v>17</v>
      </c>
      <c r="C110" s="9" t="s">
        <v>35</v>
      </c>
      <c r="D110" s="46" t="s">
        <v>19</v>
      </c>
      <c r="E110" s="47" t="s">
        <v>194</v>
      </c>
      <c r="F110" s="48" t="s">
        <v>21</v>
      </c>
      <c r="G110" s="49">
        <v>1</v>
      </c>
      <c r="H110" s="101" t="s">
        <v>22</v>
      </c>
      <c r="I110" s="101" t="s">
        <v>22</v>
      </c>
      <c r="J110" s="89">
        <v>46202</v>
      </c>
      <c r="K110" s="102" t="s">
        <v>163</v>
      </c>
      <c r="L110" s="56"/>
      <c r="M110" s="31"/>
    </row>
    <row r="111" spans="1:13" s="32" customFormat="1" ht="32.1" customHeight="1">
      <c r="A111" s="9" t="str">
        <f t="shared" si="1"/>
        <v>25-109</v>
      </c>
      <c r="B111" s="9" t="s">
        <v>17</v>
      </c>
      <c r="C111" s="9" t="s">
        <v>35</v>
      </c>
      <c r="D111" s="46" t="s">
        <v>19</v>
      </c>
      <c r="E111" s="47" t="s">
        <v>195</v>
      </c>
      <c r="F111" s="48" t="s">
        <v>21</v>
      </c>
      <c r="G111" s="49">
        <v>1</v>
      </c>
      <c r="H111" s="101" t="s">
        <v>22</v>
      </c>
      <c r="I111" s="101" t="s">
        <v>22</v>
      </c>
      <c r="J111" s="89">
        <v>46202</v>
      </c>
      <c r="K111" s="102" t="s">
        <v>163</v>
      </c>
      <c r="L111" s="64" t="s">
        <v>196</v>
      </c>
      <c r="M111" s="55"/>
    </row>
    <row r="112" spans="1:13" s="32" customFormat="1" ht="32.1" customHeight="1">
      <c r="A112" s="9" t="str">
        <f t="shared" si="1"/>
        <v>25-110</v>
      </c>
      <c r="B112" s="9" t="s">
        <v>86</v>
      </c>
      <c r="C112" s="9" t="s">
        <v>35</v>
      </c>
      <c r="D112" s="46" t="s">
        <v>19</v>
      </c>
      <c r="E112" s="47" t="s">
        <v>197</v>
      </c>
      <c r="F112" s="48" t="s">
        <v>198</v>
      </c>
      <c r="G112" s="49">
        <v>1</v>
      </c>
      <c r="H112" s="101" t="s">
        <v>22</v>
      </c>
      <c r="I112" s="101" t="s">
        <v>22</v>
      </c>
      <c r="J112" s="89">
        <v>46202</v>
      </c>
      <c r="K112" s="102" t="s">
        <v>163</v>
      </c>
      <c r="L112" s="38"/>
      <c r="M112" s="105"/>
    </row>
    <row r="113" spans="1:13" s="32" customFormat="1" ht="32.1" customHeight="1">
      <c r="A113" s="9" t="str">
        <f t="shared" si="1"/>
        <v>25-111</v>
      </c>
      <c r="B113" s="9" t="s">
        <v>86</v>
      </c>
      <c r="C113" s="9" t="s">
        <v>35</v>
      </c>
      <c r="D113" s="46" t="s">
        <v>19</v>
      </c>
      <c r="E113" s="47" t="s">
        <v>197</v>
      </c>
      <c r="F113" s="48" t="s">
        <v>199</v>
      </c>
      <c r="G113" s="49">
        <v>2</v>
      </c>
      <c r="H113" s="101" t="s">
        <v>22</v>
      </c>
      <c r="I113" s="101" t="s">
        <v>22</v>
      </c>
      <c r="J113" s="89">
        <v>46202</v>
      </c>
      <c r="K113" s="102" t="s">
        <v>163</v>
      </c>
      <c r="L113" s="56"/>
      <c r="M113" s="31"/>
    </row>
    <row r="114" spans="1:13" ht="32.1" customHeight="1">
      <c r="A114" s="9" t="str">
        <f t="shared" si="1"/>
        <v>25-112</v>
      </c>
      <c r="B114" s="9" t="s">
        <v>17</v>
      </c>
      <c r="C114" s="63" t="s">
        <v>74</v>
      </c>
      <c r="D114" s="97" t="s">
        <v>182</v>
      </c>
      <c r="E114" s="98" t="s">
        <v>200</v>
      </c>
      <c r="F114" s="99" t="s">
        <v>41</v>
      </c>
      <c r="G114" s="99">
        <v>1</v>
      </c>
      <c r="H114" s="100">
        <v>145000000</v>
      </c>
      <c r="I114" s="73">
        <v>143000000</v>
      </c>
      <c r="J114" s="96">
        <v>46008</v>
      </c>
      <c r="K114" s="12"/>
      <c r="L114" s="20"/>
    </row>
    <row r="115" spans="1:13" ht="32.1" customHeight="1">
      <c r="A115" s="9" t="str">
        <f t="shared" si="1"/>
        <v>25-113</v>
      </c>
      <c r="B115" s="9" t="s">
        <v>17</v>
      </c>
      <c r="C115" s="63" t="s">
        <v>74</v>
      </c>
      <c r="D115" s="97" t="s">
        <v>201</v>
      </c>
      <c r="E115" s="98" t="s">
        <v>202</v>
      </c>
      <c r="F115" s="99" t="s">
        <v>33</v>
      </c>
      <c r="G115" s="99">
        <v>1</v>
      </c>
      <c r="H115" s="100">
        <v>16500000</v>
      </c>
      <c r="I115" s="73">
        <v>16500000</v>
      </c>
      <c r="J115" s="96">
        <v>46008</v>
      </c>
      <c r="K115" s="12"/>
      <c r="L115" s="44"/>
    </row>
    <row r="116" spans="1:13" ht="32.1" customHeight="1">
      <c r="A116" s="9" t="str">
        <f t="shared" si="1"/>
        <v>25-114</v>
      </c>
      <c r="B116" s="9" t="s">
        <v>17</v>
      </c>
      <c r="C116" s="63" t="s">
        <v>74</v>
      </c>
      <c r="D116" s="80" t="s">
        <v>203</v>
      </c>
      <c r="E116" s="98" t="s">
        <v>204</v>
      </c>
      <c r="F116" s="99" t="s">
        <v>38</v>
      </c>
      <c r="G116" s="99">
        <v>1</v>
      </c>
      <c r="H116" s="100">
        <v>660000</v>
      </c>
      <c r="I116" s="23">
        <v>660000</v>
      </c>
      <c r="J116" s="96">
        <v>46015</v>
      </c>
      <c r="K116" s="12"/>
      <c r="L116" s="30"/>
    </row>
    <row r="117" spans="1:13" ht="32.1" customHeight="1">
      <c r="A117" s="9" t="str">
        <f t="shared" si="1"/>
        <v>25-115</v>
      </c>
      <c r="B117" s="9" t="s">
        <v>17</v>
      </c>
      <c r="C117" s="63" t="s">
        <v>74</v>
      </c>
      <c r="D117" s="80" t="s">
        <v>205</v>
      </c>
      <c r="E117" s="98" t="s">
        <v>206</v>
      </c>
      <c r="F117" s="99" t="s">
        <v>38</v>
      </c>
      <c r="G117" s="99">
        <v>1</v>
      </c>
      <c r="H117" s="100">
        <v>2000000</v>
      </c>
      <c r="I117" s="23">
        <v>2000000</v>
      </c>
      <c r="J117" s="96">
        <v>46015</v>
      </c>
      <c r="K117" s="12"/>
      <c r="L117" s="30"/>
    </row>
    <row r="118" spans="1:13" ht="32.1" customHeight="1">
      <c r="A118" s="9" t="str">
        <f t="shared" si="1"/>
        <v>25-116</v>
      </c>
      <c r="B118" s="9" t="s">
        <v>17</v>
      </c>
      <c r="C118" s="63" t="s">
        <v>74</v>
      </c>
      <c r="D118" s="97" t="s">
        <v>207</v>
      </c>
      <c r="E118" s="98" t="s">
        <v>80</v>
      </c>
      <c r="F118" s="99" t="s">
        <v>38</v>
      </c>
      <c r="G118" s="99">
        <v>1</v>
      </c>
      <c r="H118" s="100">
        <v>6500000</v>
      </c>
      <c r="I118" s="23">
        <v>6500000</v>
      </c>
      <c r="J118" s="96">
        <v>46015</v>
      </c>
      <c r="K118" s="12"/>
      <c r="L118" s="20"/>
    </row>
    <row r="119" spans="1:13" ht="32.1" customHeight="1">
      <c r="A119" s="9" t="str">
        <f t="shared" si="1"/>
        <v>25-117</v>
      </c>
      <c r="B119" s="9" t="s">
        <v>17</v>
      </c>
      <c r="C119" s="63" t="s">
        <v>74</v>
      </c>
      <c r="D119" s="106" t="s">
        <v>208</v>
      </c>
      <c r="E119" s="107" t="s">
        <v>82</v>
      </c>
      <c r="F119" s="99" t="s">
        <v>33</v>
      </c>
      <c r="G119" s="99">
        <v>2</v>
      </c>
      <c r="H119" s="100">
        <v>6600000</v>
      </c>
      <c r="I119" s="23">
        <v>6600000</v>
      </c>
      <c r="J119" s="96">
        <v>46076</v>
      </c>
      <c r="K119" s="12" t="s">
        <v>209</v>
      </c>
      <c r="L119" s="12" t="s">
        <v>210</v>
      </c>
    </row>
    <row r="120" spans="1:13" ht="32.1" customHeight="1">
      <c r="A120" s="9" t="str">
        <f t="shared" si="1"/>
        <v>25-118</v>
      </c>
      <c r="B120" s="9" t="s">
        <v>17</v>
      </c>
      <c r="C120" s="63" t="s">
        <v>74</v>
      </c>
      <c r="D120" s="106" t="s">
        <v>211</v>
      </c>
      <c r="E120" s="107" t="s">
        <v>212</v>
      </c>
      <c r="F120" s="99" t="s">
        <v>38</v>
      </c>
      <c r="G120" s="99">
        <v>1</v>
      </c>
      <c r="H120" s="100">
        <v>3630000</v>
      </c>
      <c r="I120" s="23">
        <v>3630000</v>
      </c>
      <c r="J120" s="96">
        <v>46076</v>
      </c>
      <c r="K120" s="12"/>
      <c r="L120" s="44"/>
    </row>
    <row r="121" spans="1:13" ht="32.1" customHeight="1">
      <c r="A121" s="9" t="str">
        <f t="shared" si="1"/>
        <v>25-119</v>
      </c>
      <c r="B121" s="9" t="s">
        <v>17</v>
      </c>
      <c r="C121" s="63" t="s">
        <v>74</v>
      </c>
      <c r="D121" s="106" t="s">
        <v>50</v>
      </c>
      <c r="E121" s="107" t="s">
        <v>213</v>
      </c>
      <c r="F121" s="99" t="s">
        <v>21</v>
      </c>
      <c r="G121" s="99">
        <v>1</v>
      </c>
      <c r="H121" s="100">
        <v>25900000</v>
      </c>
      <c r="I121" s="23">
        <v>21850000</v>
      </c>
      <c r="J121" s="96">
        <v>46076</v>
      </c>
      <c r="K121" s="12"/>
      <c r="L121" s="30"/>
    </row>
    <row r="122" spans="1:13" ht="32.1" customHeight="1">
      <c r="A122" s="9" t="str">
        <f t="shared" si="1"/>
        <v>25-120</v>
      </c>
      <c r="B122" s="9" t="s">
        <v>17</v>
      </c>
      <c r="C122" s="63" t="s">
        <v>74</v>
      </c>
      <c r="D122" s="97" t="s">
        <v>114</v>
      </c>
      <c r="E122" s="98" t="s">
        <v>214</v>
      </c>
      <c r="F122" s="99" t="s">
        <v>41</v>
      </c>
      <c r="G122" s="99">
        <v>5</v>
      </c>
      <c r="H122" s="100">
        <v>1500000</v>
      </c>
      <c r="I122" s="23">
        <v>1500000</v>
      </c>
      <c r="J122" s="96">
        <v>46015</v>
      </c>
      <c r="K122" s="12"/>
      <c r="L122" s="56"/>
    </row>
    <row r="123" spans="1:13" ht="32.1" customHeight="1">
      <c r="A123" s="9" t="str">
        <f t="shared" si="1"/>
        <v>25-121</v>
      </c>
      <c r="B123" s="9" t="s">
        <v>17</v>
      </c>
      <c r="C123" s="63" t="s">
        <v>74</v>
      </c>
      <c r="D123" s="97" t="s">
        <v>114</v>
      </c>
      <c r="E123" s="98" t="s">
        <v>215</v>
      </c>
      <c r="F123" s="99" t="s">
        <v>41</v>
      </c>
      <c r="G123" s="99">
        <v>6</v>
      </c>
      <c r="H123" s="100">
        <v>600000</v>
      </c>
      <c r="I123" s="23">
        <v>600000</v>
      </c>
      <c r="J123" s="96">
        <v>46015</v>
      </c>
      <c r="K123" s="12"/>
      <c r="L123" s="44"/>
    </row>
    <row r="124" spans="1:13" ht="32.1" customHeight="1">
      <c r="A124" s="9" t="str">
        <f t="shared" si="1"/>
        <v>25-122</v>
      </c>
      <c r="B124" s="9" t="s">
        <v>17</v>
      </c>
      <c r="C124" s="63" t="s">
        <v>74</v>
      </c>
      <c r="D124" s="97" t="s">
        <v>114</v>
      </c>
      <c r="E124" s="98" t="s">
        <v>73</v>
      </c>
      <c r="F124" s="99" t="s">
        <v>33</v>
      </c>
      <c r="G124" s="99">
        <v>2</v>
      </c>
      <c r="H124" s="100">
        <v>2000000</v>
      </c>
      <c r="I124" s="23">
        <v>2000000</v>
      </c>
      <c r="J124" s="96">
        <v>46015</v>
      </c>
      <c r="K124" s="12"/>
      <c r="L124" s="20"/>
    </row>
    <row r="125" spans="1:13" ht="32.1" customHeight="1">
      <c r="A125" s="9" t="str">
        <f t="shared" si="1"/>
        <v>25-123</v>
      </c>
      <c r="B125" s="9" t="s">
        <v>17</v>
      </c>
      <c r="C125" s="63" t="s">
        <v>74</v>
      </c>
      <c r="D125" s="106" t="s">
        <v>62</v>
      </c>
      <c r="E125" s="107" t="s">
        <v>216</v>
      </c>
      <c r="F125" s="99" t="s">
        <v>33</v>
      </c>
      <c r="G125" s="99">
        <v>1</v>
      </c>
      <c r="H125" s="100">
        <v>10450000</v>
      </c>
      <c r="I125" s="23">
        <v>9940000</v>
      </c>
      <c r="J125" s="95">
        <v>46090</v>
      </c>
      <c r="K125" s="12"/>
      <c r="L125" s="20"/>
    </row>
    <row r="126" spans="1:13" ht="32.1" customHeight="1">
      <c r="A126" s="9" t="str">
        <f t="shared" si="1"/>
        <v>25-124</v>
      </c>
      <c r="B126" s="9" t="s">
        <v>17</v>
      </c>
      <c r="C126" s="63" t="s">
        <v>74</v>
      </c>
      <c r="D126" s="106" t="s">
        <v>62</v>
      </c>
      <c r="E126" s="107" t="s">
        <v>217</v>
      </c>
      <c r="F126" s="99" t="s">
        <v>33</v>
      </c>
      <c r="G126" s="99">
        <v>1</v>
      </c>
      <c r="H126" s="100">
        <v>18400000</v>
      </c>
      <c r="I126" s="23">
        <v>17400000</v>
      </c>
      <c r="J126" s="95">
        <v>46090</v>
      </c>
      <c r="K126" s="12"/>
      <c r="L126" s="44"/>
    </row>
    <row r="127" spans="1:13" ht="32.1" customHeight="1">
      <c r="A127" s="9" t="str">
        <f t="shared" si="1"/>
        <v>25-125</v>
      </c>
      <c r="B127" s="9" t="s">
        <v>17</v>
      </c>
      <c r="C127" s="63" t="s">
        <v>74</v>
      </c>
      <c r="D127" s="106" t="s">
        <v>62</v>
      </c>
      <c r="E127" s="107" t="s">
        <v>218</v>
      </c>
      <c r="F127" s="99" t="s">
        <v>41</v>
      </c>
      <c r="G127" s="99">
        <v>1</v>
      </c>
      <c r="H127" s="100">
        <v>4100000</v>
      </c>
      <c r="I127" s="23">
        <v>4100000</v>
      </c>
      <c r="J127" s="95">
        <v>46090</v>
      </c>
      <c r="K127" s="12"/>
      <c r="L127" s="30"/>
    </row>
    <row r="128" spans="1:13" ht="32.1" customHeight="1">
      <c r="A128" s="9" t="str">
        <f t="shared" si="1"/>
        <v>25-126</v>
      </c>
      <c r="B128" s="9" t="s">
        <v>17</v>
      </c>
      <c r="C128" s="63" t="s">
        <v>74</v>
      </c>
      <c r="D128" s="106" t="s">
        <v>25</v>
      </c>
      <c r="E128" s="107" t="s">
        <v>219</v>
      </c>
      <c r="F128" s="99" t="s">
        <v>33</v>
      </c>
      <c r="G128" s="99">
        <v>1</v>
      </c>
      <c r="H128" s="100">
        <v>14900000</v>
      </c>
      <c r="I128" s="23">
        <v>14900000</v>
      </c>
      <c r="J128" s="95">
        <v>46090</v>
      </c>
      <c r="K128" s="12"/>
      <c r="L128" s="30"/>
    </row>
    <row r="129" spans="1:13" ht="32.1" customHeight="1">
      <c r="A129" s="9" t="str">
        <f t="shared" si="1"/>
        <v>25-127</v>
      </c>
      <c r="B129" s="9" t="s">
        <v>17</v>
      </c>
      <c r="C129" s="63" t="s">
        <v>74</v>
      </c>
      <c r="D129" s="106" t="s">
        <v>220</v>
      </c>
      <c r="E129" s="107" t="s">
        <v>221</v>
      </c>
      <c r="F129" s="99" t="s">
        <v>21</v>
      </c>
      <c r="G129" s="99">
        <v>1</v>
      </c>
      <c r="H129" s="100">
        <v>19250000</v>
      </c>
      <c r="I129" s="23">
        <v>19250000</v>
      </c>
      <c r="J129" s="96">
        <v>46076</v>
      </c>
      <c r="K129" s="12"/>
      <c r="L129" s="20"/>
    </row>
    <row r="130" spans="1:13" ht="32.1" customHeight="1">
      <c r="A130" s="9" t="str">
        <f t="shared" si="1"/>
        <v>25-128</v>
      </c>
      <c r="B130" s="9" t="s">
        <v>17</v>
      </c>
      <c r="C130" s="63" t="s">
        <v>74</v>
      </c>
      <c r="D130" s="106" t="s">
        <v>39</v>
      </c>
      <c r="E130" s="107" t="s">
        <v>222</v>
      </c>
      <c r="F130" s="99" t="s">
        <v>33</v>
      </c>
      <c r="G130" s="99">
        <v>1</v>
      </c>
      <c r="H130" s="100">
        <v>9900000</v>
      </c>
      <c r="I130" s="23">
        <v>9900000</v>
      </c>
      <c r="J130" s="95">
        <v>46090</v>
      </c>
      <c r="K130" s="12"/>
      <c r="L130" s="56"/>
    </row>
    <row r="131" spans="1:13" ht="32.1" customHeight="1">
      <c r="A131" s="9" t="str">
        <f t="shared" si="1"/>
        <v>25-129</v>
      </c>
      <c r="B131" s="9" t="s">
        <v>17</v>
      </c>
      <c r="C131" s="63" t="s">
        <v>74</v>
      </c>
      <c r="D131" s="106" t="s">
        <v>223</v>
      </c>
      <c r="E131" s="107" t="s">
        <v>202</v>
      </c>
      <c r="F131" s="99" t="s">
        <v>33</v>
      </c>
      <c r="G131" s="99">
        <v>1</v>
      </c>
      <c r="H131" s="100">
        <v>16500000</v>
      </c>
      <c r="I131" s="23">
        <v>16500000</v>
      </c>
      <c r="J131" s="96">
        <v>46076</v>
      </c>
      <c r="K131" s="12"/>
      <c r="L131" s="44"/>
    </row>
    <row r="132" spans="1:13" ht="32.1" customHeight="1">
      <c r="A132" s="9" t="str">
        <f t="shared" ref="A132:A154" si="2">CONCATENATE("25-",ROW()-ROW($A$2))</f>
        <v>25-130</v>
      </c>
      <c r="B132" s="9" t="s">
        <v>17</v>
      </c>
      <c r="C132" s="63" t="s">
        <v>74</v>
      </c>
      <c r="D132" s="106" t="s">
        <v>223</v>
      </c>
      <c r="E132" s="107" t="s">
        <v>80</v>
      </c>
      <c r="F132" s="99" t="s">
        <v>38</v>
      </c>
      <c r="G132" s="99">
        <v>1</v>
      </c>
      <c r="H132" s="100">
        <v>7500000</v>
      </c>
      <c r="I132" s="23">
        <v>7500000</v>
      </c>
      <c r="J132" s="96">
        <v>46076</v>
      </c>
      <c r="K132" s="12"/>
      <c r="L132" s="30"/>
    </row>
    <row r="133" spans="1:13" ht="32.1" customHeight="1">
      <c r="A133" s="9" t="str">
        <f t="shared" si="2"/>
        <v>25-131</v>
      </c>
      <c r="B133" s="9" t="s">
        <v>17</v>
      </c>
      <c r="C133" s="63" t="s">
        <v>74</v>
      </c>
      <c r="D133" s="106" t="s">
        <v>186</v>
      </c>
      <c r="E133" s="107" t="s">
        <v>224</v>
      </c>
      <c r="F133" s="99" t="s">
        <v>38</v>
      </c>
      <c r="G133" s="99">
        <v>1</v>
      </c>
      <c r="H133" s="100">
        <v>6600000</v>
      </c>
      <c r="I133" s="23">
        <v>6600000</v>
      </c>
      <c r="J133" s="95">
        <v>46090</v>
      </c>
      <c r="K133" s="12"/>
      <c r="L133" s="56"/>
    </row>
    <row r="134" spans="1:13" ht="32.1" customHeight="1">
      <c r="A134" s="9" t="str">
        <f t="shared" si="2"/>
        <v>25-132</v>
      </c>
      <c r="B134" s="9" t="s">
        <v>17</v>
      </c>
      <c r="C134" s="63" t="s">
        <v>74</v>
      </c>
      <c r="D134" s="106" t="s">
        <v>42</v>
      </c>
      <c r="E134" s="107" t="s">
        <v>225</v>
      </c>
      <c r="F134" s="99" t="s">
        <v>38</v>
      </c>
      <c r="G134" s="99">
        <v>1</v>
      </c>
      <c r="H134" s="100">
        <v>6853000</v>
      </c>
      <c r="I134" s="23">
        <v>7623000</v>
      </c>
      <c r="J134" s="96">
        <v>46076</v>
      </c>
      <c r="K134" s="12"/>
      <c r="L134" s="44"/>
    </row>
    <row r="135" spans="1:13" ht="32.1" customHeight="1">
      <c r="A135" s="9" t="str">
        <f t="shared" si="2"/>
        <v>25-133</v>
      </c>
      <c r="B135" s="9" t="s">
        <v>17</v>
      </c>
      <c r="C135" s="63" t="s">
        <v>74</v>
      </c>
      <c r="D135" s="106" t="s">
        <v>42</v>
      </c>
      <c r="E135" s="107" t="s">
        <v>226</v>
      </c>
      <c r="F135" s="99" t="s">
        <v>38</v>
      </c>
      <c r="G135" s="99">
        <v>1</v>
      </c>
      <c r="H135" s="100">
        <v>9000000</v>
      </c>
      <c r="I135" s="23">
        <v>9000000</v>
      </c>
      <c r="J135" s="96">
        <v>46076</v>
      </c>
      <c r="K135" s="12"/>
      <c r="L135" s="38"/>
    </row>
    <row r="136" spans="1:13" ht="32.1" customHeight="1">
      <c r="A136" s="9" t="str">
        <f t="shared" si="2"/>
        <v>25-134</v>
      </c>
      <c r="B136" s="9" t="s">
        <v>17</v>
      </c>
      <c r="C136" s="63" t="s">
        <v>74</v>
      </c>
      <c r="D136" s="97" t="s">
        <v>227</v>
      </c>
      <c r="E136" s="98" t="s">
        <v>228</v>
      </c>
      <c r="F136" s="99" t="s">
        <v>41</v>
      </c>
      <c r="G136" s="99">
        <v>1</v>
      </c>
      <c r="H136" s="100">
        <v>2640000</v>
      </c>
      <c r="I136" s="23">
        <v>2640000</v>
      </c>
      <c r="J136" s="96">
        <v>46015</v>
      </c>
      <c r="K136" s="12"/>
      <c r="L136" s="56"/>
    </row>
    <row r="137" spans="1:13" s="111" customFormat="1" ht="32.1" customHeight="1">
      <c r="A137" s="9" t="str">
        <f t="shared" si="2"/>
        <v>25-135</v>
      </c>
      <c r="B137" s="9" t="s">
        <v>229</v>
      </c>
      <c r="C137" s="9" t="s">
        <v>79</v>
      </c>
      <c r="D137" s="58" t="s">
        <v>68</v>
      </c>
      <c r="E137" s="59" t="s">
        <v>230</v>
      </c>
      <c r="F137" s="60" t="s">
        <v>70</v>
      </c>
      <c r="G137" s="61">
        <v>1</v>
      </c>
      <c r="H137" s="62">
        <v>53000000</v>
      </c>
      <c r="I137" s="108" t="s">
        <v>231</v>
      </c>
      <c r="J137" s="109" t="s">
        <v>232</v>
      </c>
      <c r="K137" s="58" t="s">
        <v>71</v>
      </c>
      <c r="L137" s="110"/>
      <c r="M137" s="31"/>
    </row>
    <row r="138" spans="1:13" s="25" customFormat="1" ht="32.1" customHeight="1">
      <c r="A138" s="9" t="str">
        <f t="shared" si="2"/>
        <v>25-136</v>
      </c>
      <c r="B138" s="9" t="s">
        <v>229</v>
      </c>
      <c r="C138" s="9" t="s">
        <v>79</v>
      </c>
      <c r="D138" s="58" t="s">
        <v>68</v>
      </c>
      <c r="E138" s="59" t="s">
        <v>233</v>
      </c>
      <c r="F138" s="60" t="s">
        <v>70</v>
      </c>
      <c r="G138" s="61">
        <v>1</v>
      </c>
      <c r="H138" s="62">
        <v>14000000</v>
      </c>
      <c r="I138" s="108" t="s">
        <v>231</v>
      </c>
      <c r="J138" s="109" t="s">
        <v>232</v>
      </c>
      <c r="K138" s="58" t="s">
        <v>71</v>
      </c>
      <c r="L138" s="110"/>
      <c r="M138" s="55"/>
    </row>
    <row r="139" spans="1:13" s="25" customFormat="1" ht="32.1" customHeight="1">
      <c r="A139" s="9" t="str">
        <f t="shared" si="2"/>
        <v>25-137</v>
      </c>
      <c r="B139" s="9" t="s">
        <v>229</v>
      </c>
      <c r="C139" s="9" t="s">
        <v>79</v>
      </c>
      <c r="D139" s="58" t="s">
        <v>68</v>
      </c>
      <c r="E139" s="59" t="s">
        <v>234</v>
      </c>
      <c r="F139" s="60" t="s">
        <v>70</v>
      </c>
      <c r="G139" s="61">
        <v>1</v>
      </c>
      <c r="H139" s="62">
        <v>4000000</v>
      </c>
      <c r="I139" s="108" t="s">
        <v>231</v>
      </c>
      <c r="J139" s="109" t="s">
        <v>232</v>
      </c>
      <c r="K139" s="58" t="s">
        <v>71</v>
      </c>
      <c r="L139" s="110"/>
      <c r="M139" s="55"/>
    </row>
    <row r="140" spans="1:13" s="42" customFormat="1" ht="32.1" customHeight="1">
      <c r="A140" s="9" t="str">
        <f t="shared" si="2"/>
        <v>25-138</v>
      </c>
      <c r="B140" s="9" t="s">
        <v>17</v>
      </c>
      <c r="C140" s="9" t="s">
        <v>24</v>
      </c>
      <c r="D140" s="10" t="s">
        <v>235</v>
      </c>
      <c r="E140" s="11" t="s">
        <v>236</v>
      </c>
      <c r="F140" s="12" t="s">
        <v>21</v>
      </c>
      <c r="G140" s="13">
        <v>2</v>
      </c>
      <c r="H140" s="72">
        <v>230000000</v>
      </c>
      <c r="I140" s="23">
        <v>213000000</v>
      </c>
      <c r="J140" s="96">
        <v>46112</v>
      </c>
      <c r="K140" s="112" t="s">
        <v>237</v>
      </c>
      <c r="L140" s="113" t="s">
        <v>238</v>
      </c>
      <c r="M140" s="31"/>
    </row>
    <row r="141" spans="1:13" s="32" customFormat="1" ht="32.1" customHeight="1">
      <c r="A141" s="9" t="str">
        <f t="shared" si="2"/>
        <v>25-139</v>
      </c>
      <c r="B141" s="9" t="s">
        <v>239</v>
      </c>
      <c r="C141" s="114" t="s">
        <v>79</v>
      </c>
      <c r="D141" s="115" t="s">
        <v>240</v>
      </c>
      <c r="E141" s="116" t="s">
        <v>241</v>
      </c>
      <c r="F141" s="117" t="s">
        <v>41</v>
      </c>
      <c r="G141" s="118">
        <v>1</v>
      </c>
      <c r="H141" s="119">
        <v>230000000</v>
      </c>
      <c r="I141" s="23"/>
      <c r="J141" s="96" t="s">
        <v>229</v>
      </c>
      <c r="K141" s="112" t="s">
        <v>242</v>
      </c>
      <c r="L141" s="30" t="s">
        <v>243</v>
      </c>
      <c r="M141" s="39"/>
    </row>
    <row r="142" spans="1:13" s="54" customFormat="1" ht="32.1" customHeight="1">
      <c r="A142" s="9" t="str">
        <f t="shared" si="2"/>
        <v>25-140</v>
      </c>
      <c r="B142" s="9" t="s">
        <v>239</v>
      </c>
      <c r="C142" s="114" t="s">
        <v>35</v>
      </c>
      <c r="D142" s="120" t="s">
        <v>244</v>
      </c>
      <c r="E142" s="121" t="s">
        <v>245</v>
      </c>
      <c r="F142" s="122" t="s">
        <v>21</v>
      </c>
      <c r="G142" s="123">
        <v>1</v>
      </c>
      <c r="H142" s="124">
        <v>13035000</v>
      </c>
      <c r="I142" s="23"/>
      <c r="J142" s="125" t="s">
        <v>239</v>
      </c>
      <c r="K142" s="12" t="s">
        <v>246</v>
      </c>
      <c r="L142" s="38"/>
      <c r="M142" s="21"/>
    </row>
    <row r="143" spans="1:13" s="32" customFormat="1" ht="32.1" customHeight="1">
      <c r="A143" s="9" t="str">
        <f t="shared" si="2"/>
        <v>25-141</v>
      </c>
      <c r="B143" s="9" t="s">
        <v>239</v>
      </c>
      <c r="C143" s="114" t="s">
        <v>35</v>
      </c>
      <c r="D143" s="120" t="s">
        <v>121</v>
      </c>
      <c r="E143" s="121" t="s">
        <v>247</v>
      </c>
      <c r="F143" s="122" t="s">
        <v>21</v>
      </c>
      <c r="G143" s="123">
        <v>1</v>
      </c>
      <c r="H143" s="124">
        <v>22000000</v>
      </c>
      <c r="I143" s="23"/>
      <c r="J143" s="125" t="s">
        <v>239</v>
      </c>
      <c r="K143" s="12" t="s">
        <v>248</v>
      </c>
      <c r="L143" s="30"/>
      <c r="M143" s="45"/>
    </row>
    <row r="144" spans="1:13" s="32" customFormat="1" ht="32.1" customHeight="1">
      <c r="A144" s="9" t="str">
        <f t="shared" si="2"/>
        <v>25-142</v>
      </c>
      <c r="B144" s="9" t="s">
        <v>17</v>
      </c>
      <c r="C144" s="126" t="s">
        <v>249</v>
      </c>
      <c r="D144" s="127" t="s">
        <v>250</v>
      </c>
      <c r="E144" s="128" t="s">
        <v>251</v>
      </c>
      <c r="F144" s="129" t="s">
        <v>252</v>
      </c>
      <c r="G144" s="130" t="s">
        <v>253</v>
      </c>
      <c r="H144" s="131">
        <v>16500000</v>
      </c>
      <c r="I144" s="23">
        <v>16500000</v>
      </c>
      <c r="J144" s="89">
        <v>46015</v>
      </c>
      <c r="K144" s="12"/>
      <c r="L144" s="30"/>
      <c r="M144" s="45"/>
    </row>
    <row r="145" spans="1:15" s="32" customFormat="1" ht="32.1" customHeight="1">
      <c r="A145" s="9" t="str">
        <f t="shared" si="2"/>
        <v>25-143</v>
      </c>
      <c r="B145" s="9" t="s">
        <v>17</v>
      </c>
      <c r="C145" s="132" t="s">
        <v>249</v>
      </c>
      <c r="D145" s="133" t="s">
        <v>254</v>
      </c>
      <c r="E145" s="134" t="s">
        <v>255</v>
      </c>
      <c r="F145" s="135" t="s">
        <v>252</v>
      </c>
      <c r="G145" s="136">
        <v>1</v>
      </c>
      <c r="H145" s="137">
        <v>66000000</v>
      </c>
      <c r="I145" s="23">
        <v>63800000</v>
      </c>
      <c r="J145" s="96">
        <v>46022</v>
      </c>
      <c r="K145" s="12"/>
      <c r="L145" s="30"/>
      <c r="M145" s="45"/>
    </row>
    <row r="146" spans="1:15" s="32" customFormat="1" ht="32.1" customHeight="1">
      <c r="A146" s="9" t="str">
        <f t="shared" si="2"/>
        <v>25-144</v>
      </c>
      <c r="B146" s="9" t="s">
        <v>17</v>
      </c>
      <c r="C146" s="132" t="s">
        <v>249</v>
      </c>
      <c r="D146" s="133" t="s">
        <v>254</v>
      </c>
      <c r="E146" s="134" t="s">
        <v>256</v>
      </c>
      <c r="F146" s="135" t="s">
        <v>252</v>
      </c>
      <c r="G146" s="136">
        <v>1</v>
      </c>
      <c r="H146" s="138" t="s">
        <v>22</v>
      </c>
      <c r="I146" s="23" t="s">
        <v>257</v>
      </c>
      <c r="J146" s="96">
        <v>46022</v>
      </c>
      <c r="K146" s="12" t="s">
        <v>258</v>
      </c>
      <c r="L146" s="30"/>
      <c r="M146" s="45"/>
    </row>
    <row r="147" spans="1:15" s="32" customFormat="1" ht="32.1" customHeight="1">
      <c r="A147" s="9" t="str">
        <f t="shared" si="2"/>
        <v>25-145</v>
      </c>
      <c r="B147" s="9" t="s">
        <v>17</v>
      </c>
      <c r="C147" s="126" t="s">
        <v>249</v>
      </c>
      <c r="D147" s="127" t="s">
        <v>259</v>
      </c>
      <c r="E147" s="128" t="s">
        <v>260</v>
      </c>
      <c r="F147" s="129" t="s">
        <v>252</v>
      </c>
      <c r="G147" s="130">
        <v>1</v>
      </c>
      <c r="H147" s="139">
        <v>2427900000</v>
      </c>
      <c r="I147" s="139">
        <v>2427839040</v>
      </c>
      <c r="J147" s="95">
        <v>46020</v>
      </c>
      <c r="K147" s="12" t="s">
        <v>261</v>
      </c>
      <c r="L147" s="30"/>
      <c r="M147" s="45"/>
    </row>
    <row r="148" spans="1:15" s="32" customFormat="1" ht="32.1" customHeight="1">
      <c r="A148" s="9" t="str">
        <f t="shared" si="2"/>
        <v>25-146</v>
      </c>
      <c r="B148" s="9" t="s">
        <v>17</v>
      </c>
      <c r="C148" s="126" t="s">
        <v>249</v>
      </c>
      <c r="D148" s="127" t="s">
        <v>259</v>
      </c>
      <c r="E148" s="128" t="s">
        <v>262</v>
      </c>
      <c r="F148" s="129" t="s">
        <v>252</v>
      </c>
      <c r="G148" s="130">
        <v>1</v>
      </c>
      <c r="H148" s="131">
        <v>246074000</v>
      </c>
      <c r="I148" s="140"/>
      <c r="J148" s="96">
        <v>46112</v>
      </c>
      <c r="K148" s="141" t="s">
        <v>263</v>
      </c>
      <c r="L148" s="20"/>
      <c r="M148" s="45"/>
    </row>
    <row r="149" spans="1:15" s="32" customFormat="1" ht="32.1" customHeight="1">
      <c r="A149" s="9" t="str">
        <f t="shared" si="2"/>
        <v>25-147</v>
      </c>
      <c r="B149" s="9" t="s">
        <v>17</v>
      </c>
      <c r="C149" s="126" t="s">
        <v>249</v>
      </c>
      <c r="D149" s="127" t="s">
        <v>259</v>
      </c>
      <c r="E149" s="128" t="s">
        <v>264</v>
      </c>
      <c r="F149" s="129" t="s">
        <v>252</v>
      </c>
      <c r="G149" s="130">
        <v>1</v>
      </c>
      <c r="H149" s="131">
        <v>1206700000</v>
      </c>
      <c r="I149" s="23">
        <v>1206700000</v>
      </c>
      <c r="J149" s="95">
        <v>46020</v>
      </c>
      <c r="K149" s="12"/>
      <c r="L149" s="30"/>
      <c r="M149" s="45"/>
    </row>
    <row r="150" spans="1:15" s="32" customFormat="1" ht="32.1" customHeight="1">
      <c r="A150" s="9" t="str">
        <f t="shared" si="2"/>
        <v>25-148</v>
      </c>
      <c r="B150" s="9" t="s">
        <v>17</v>
      </c>
      <c r="C150" s="126" t="s">
        <v>249</v>
      </c>
      <c r="D150" s="127" t="s">
        <v>259</v>
      </c>
      <c r="E150" s="128" t="s">
        <v>265</v>
      </c>
      <c r="F150" s="129" t="s">
        <v>252</v>
      </c>
      <c r="G150" s="130">
        <v>1</v>
      </c>
      <c r="H150" s="131">
        <v>1070000000</v>
      </c>
      <c r="I150" s="140"/>
      <c r="J150" s="96">
        <v>46112</v>
      </c>
      <c r="K150" s="12" t="s">
        <v>266</v>
      </c>
      <c r="L150" s="30"/>
      <c r="M150" s="45"/>
    </row>
    <row r="151" spans="1:15" s="32" customFormat="1" ht="32.1" customHeight="1">
      <c r="A151" s="9" t="str">
        <f t="shared" si="2"/>
        <v>25-149</v>
      </c>
      <c r="B151" s="9" t="s">
        <v>17</v>
      </c>
      <c r="C151" s="132" t="s">
        <v>249</v>
      </c>
      <c r="D151" s="133" t="s">
        <v>90</v>
      </c>
      <c r="E151" s="134" t="s">
        <v>267</v>
      </c>
      <c r="F151" s="135" t="s">
        <v>252</v>
      </c>
      <c r="G151" s="136">
        <v>1</v>
      </c>
      <c r="H151" s="137">
        <v>148400000</v>
      </c>
      <c r="I151" s="23">
        <v>148400000</v>
      </c>
      <c r="J151" s="95">
        <v>46111</v>
      </c>
      <c r="K151" s="12"/>
      <c r="L151" s="30"/>
      <c r="M151" s="45"/>
    </row>
    <row r="152" spans="1:15" s="32" customFormat="1" ht="32.1" customHeight="1">
      <c r="A152" s="9" t="str">
        <f t="shared" si="2"/>
        <v>25-150</v>
      </c>
      <c r="B152" s="9" t="s">
        <v>17</v>
      </c>
      <c r="C152" s="132" t="s">
        <v>249</v>
      </c>
      <c r="D152" s="133" t="s">
        <v>90</v>
      </c>
      <c r="E152" s="134" t="s">
        <v>268</v>
      </c>
      <c r="F152" s="135" t="s">
        <v>252</v>
      </c>
      <c r="G152" s="136">
        <v>1</v>
      </c>
      <c r="H152" s="137">
        <v>2640000</v>
      </c>
      <c r="I152" s="23">
        <v>2640000</v>
      </c>
      <c r="J152" s="96">
        <v>46076</v>
      </c>
      <c r="K152" s="12"/>
      <c r="L152" s="30"/>
      <c r="M152" s="45"/>
    </row>
    <row r="153" spans="1:15" s="32" customFormat="1" ht="32.1" customHeight="1">
      <c r="A153" s="9" t="str">
        <f t="shared" si="2"/>
        <v>25-151</v>
      </c>
      <c r="B153" s="9" t="s">
        <v>17</v>
      </c>
      <c r="C153" s="132" t="s">
        <v>249</v>
      </c>
      <c r="D153" s="133" t="s">
        <v>90</v>
      </c>
      <c r="E153" s="134" t="s">
        <v>269</v>
      </c>
      <c r="F153" s="135" t="s">
        <v>252</v>
      </c>
      <c r="G153" s="136">
        <v>1</v>
      </c>
      <c r="H153" s="137">
        <v>74000000</v>
      </c>
      <c r="I153" s="23">
        <v>70000000</v>
      </c>
      <c r="J153" s="95">
        <v>46108</v>
      </c>
      <c r="K153" s="12"/>
      <c r="L153" s="30"/>
      <c r="M153" s="45"/>
    </row>
    <row r="154" spans="1:15" s="19" customFormat="1" ht="35.1" customHeight="1">
      <c r="A154" s="9" t="str">
        <f>CONCATENATE("26-",ROW()-ROW($A$153))</f>
        <v>26-1</v>
      </c>
      <c r="B154" s="9" t="s">
        <v>86</v>
      </c>
      <c r="C154" s="9" t="s">
        <v>270</v>
      </c>
      <c r="D154" s="10" t="s">
        <v>271</v>
      </c>
      <c r="E154" s="104" t="s">
        <v>272</v>
      </c>
      <c r="F154" s="12" t="s">
        <v>41</v>
      </c>
      <c r="G154" s="13">
        <v>1</v>
      </c>
      <c r="H154" s="100">
        <v>3328500000</v>
      </c>
      <c r="I154" s="15">
        <v>3267000000</v>
      </c>
      <c r="J154" s="16">
        <v>46225</v>
      </c>
      <c r="K154" s="12" t="s">
        <v>273</v>
      </c>
      <c r="L154" s="17" t="s">
        <v>274</v>
      </c>
      <c r="M154" s="142" t="s">
        <v>275</v>
      </c>
      <c r="N154" s="143" t="s">
        <v>276</v>
      </c>
      <c r="O154" s="142" t="s">
        <v>277</v>
      </c>
    </row>
    <row r="155" spans="1:15" s="19" customFormat="1" ht="35.1" customHeight="1">
      <c r="A155" s="9" t="str">
        <f t="shared" ref="A155:A218" si="3">CONCATENATE("26-",ROW()-ROW($A$153))</f>
        <v>26-2</v>
      </c>
      <c r="B155" s="9" t="s">
        <v>86</v>
      </c>
      <c r="C155" s="9" t="s">
        <v>270</v>
      </c>
      <c r="D155" s="10" t="s">
        <v>278</v>
      </c>
      <c r="E155" s="104" t="s">
        <v>279</v>
      </c>
      <c r="F155" s="12" t="s">
        <v>21</v>
      </c>
      <c r="G155" s="12">
        <v>1</v>
      </c>
      <c r="H155" s="100">
        <v>10634000000</v>
      </c>
      <c r="I155" s="15">
        <v>8410000000</v>
      </c>
      <c r="J155" s="16">
        <v>46224</v>
      </c>
      <c r="K155" s="12"/>
      <c r="L155" s="20"/>
      <c r="M155" s="142" t="s">
        <v>280</v>
      </c>
      <c r="N155" s="144" t="s">
        <v>281</v>
      </c>
      <c r="O155" s="142"/>
    </row>
    <row r="156" spans="1:15" s="25" customFormat="1" ht="35.1" customHeight="1">
      <c r="A156" s="9" t="str">
        <f t="shared" si="3"/>
        <v>26-3</v>
      </c>
      <c r="B156" s="9" t="s">
        <v>185</v>
      </c>
      <c r="C156" s="9" t="s">
        <v>270</v>
      </c>
      <c r="D156" s="10" t="s">
        <v>282</v>
      </c>
      <c r="E156" s="104" t="s">
        <v>283</v>
      </c>
      <c r="F156" s="12" t="s">
        <v>33</v>
      </c>
      <c r="G156" s="12">
        <v>1</v>
      </c>
      <c r="H156" s="100">
        <v>1511690000</v>
      </c>
      <c r="I156" s="23"/>
      <c r="J156" s="16"/>
      <c r="K156" s="12"/>
      <c r="L156" s="20" t="s">
        <v>284</v>
      </c>
      <c r="M156" s="142" t="s">
        <v>285</v>
      </c>
      <c r="N156" s="142" t="s">
        <v>286</v>
      </c>
      <c r="O156" s="142"/>
    </row>
    <row r="157" spans="1:15" s="25" customFormat="1" ht="35.1" customHeight="1">
      <c r="A157" s="9" t="str">
        <f t="shared" si="3"/>
        <v>26-4</v>
      </c>
      <c r="B157" s="9" t="s">
        <v>86</v>
      </c>
      <c r="C157" s="9" t="s">
        <v>270</v>
      </c>
      <c r="D157" s="10" t="s">
        <v>287</v>
      </c>
      <c r="E157" s="104" t="s">
        <v>288</v>
      </c>
      <c r="F157" s="12" t="s">
        <v>21</v>
      </c>
      <c r="G157" s="12">
        <v>1</v>
      </c>
      <c r="H157" s="100">
        <v>48000000</v>
      </c>
      <c r="I157" s="23">
        <v>47800000</v>
      </c>
      <c r="J157" s="16">
        <v>46295</v>
      </c>
      <c r="K157" s="12"/>
      <c r="L157" s="145" t="s">
        <v>289</v>
      </c>
      <c r="M157" s="142" t="s">
        <v>275</v>
      </c>
      <c r="N157" s="144" t="s">
        <v>281</v>
      </c>
      <c r="O157" s="142"/>
    </row>
    <row r="158" spans="1:15" s="25" customFormat="1" ht="35.1" customHeight="1">
      <c r="A158" s="9" t="str">
        <f t="shared" si="3"/>
        <v>26-5</v>
      </c>
      <c r="B158" s="9" t="s">
        <v>86</v>
      </c>
      <c r="C158" s="9" t="s">
        <v>270</v>
      </c>
      <c r="D158" s="10" t="s">
        <v>287</v>
      </c>
      <c r="E158" s="104" t="s">
        <v>290</v>
      </c>
      <c r="F158" s="12" t="s">
        <v>41</v>
      </c>
      <c r="G158" s="13">
        <v>2</v>
      </c>
      <c r="H158" s="100">
        <v>4356000</v>
      </c>
      <c r="I158" s="15">
        <v>4356000</v>
      </c>
      <c r="J158" s="16">
        <v>46295</v>
      </c>
      <c r="K158" s="12"/>
      <c r="L158" s="145" t="s">
        <v>289</v>
      </c>
      <c r="M158" s="142" t="s">
        <v>275</v>
      </c>
      <c r="N158" s="142" t="s">
        <v>291</v>
      </c>
      <c r="O158" s="142"/>
    </row>
    <row r="159" spans="1:15" s="25" customFormat="1" ht="35.1" customHeight="1">
      <c r="A159" s="9" t="str">
        <f t="shared" si="3"/>
        <v>26-6</v>
      </c>
      <c r="B159" s="9" t="s">
        <v>86</v>
      </c>
      <c r="C159" s="9" t="s">
        <v>270</v>
      </c>
      <c r="D159" s="10" t="s">
        <v>292</v>
      </c>
      <c r="E159" s="104" t="s">
        <v>293</v>
      </c>
      <c r="F159" s="12" t="s">
        <v>33</v>
      </c>
      <c r="G159" s="13">
        <v>1</v>
      </c>
      <c r="H159" s="100">
        <v>41000000</v>
      </c>
      <c r="I159" s="15">
        <v>41000000</v>
      </c>
      <c r="J159" s="16">
        <v>46295</v>
      </c>
      <c r="K159" s="12"/>
      <c r="L159" s="145" t="s">
        <v>289</v>
      </c>
      <c r="M159" s="142" t="s">
        <v>285</v>
      </c>
      <c r="N159" s="144" t="s">
        <v>294</v>
      </c>
      <c r="O159" s="142"/>
    </row>
    <row r="160" spans="1:15" s="19" customFormat="1" ht="35.1" customHeight="1">
      <c r="A160" s="9" t="str">
        <f t="shared" si="3"/>
        <v>26-7</v>
      </c>
      <c r="B160" s="9" t="s">
        <v>86</v>
      </c>
      <c r="C160" s="9" t="s">
        <v>270</v>
      </c>
      <c r="D160" s="10" t="s">
        <v>292</v>
      </c>
      <c r="E160" s="104" t="s">
        <v>295</v>
      </c>
      <c r="F160" s="26" t="s">
        <v>33</v>
      </c>
      <c r="G160" s="27">
        <v>1</v>
      </c>
      <c r="H160" s="100">
        <v>18000000</v>
      </c>
      <c r="I160" s="29">
        <v>18000000</v>
      </c>
      <c r="J160" s="16">
        <v>46295</v>
      </c>
      <c r="K160" s="12"/>
      <c r="L160" s="145" t="s">
        <v>289</v>
      </c>
      <c r="M160" s="142" t="s">
        <v>285</v>
      </c>
      <c r="N160" s="142" t="s">
        <v>296</v>
      </c>
      <c r="O160" s="142"/>
    </row>
    <row r="161" spans="1:15" s="19" customFormat="1" ht="35.1" customHeight="1">
      <c r="A161" s="9" t="str">
        <f t="shared" si="3"/>
        <v>26-8</v>
      </c>
      <c r="B161" s="9" t="s">
        <v>86</v>
      </c>
      <c r="C161" s="146" t="s">
        <v>270</v>
      </c>
      <c r="D161" s="46" t="s">
        <v>292</v>
      </c>
      <c r="E161" s="147" t="s">
        <v>297</v>
      </c>
      <c r="F161" s="48" t="s">
        <v>41</v>
      </c>
      <c r="G161" s="49">
        <v>1</v>
      </c>
      <c r="H161" s="100">
        <v>68000000</v>
      </c>
      <c r="I161" s="148">
        <v>67000000</v>
      </c>
      <c r="J161" s="51">
        <v>46295</v>
      </c>
      <c r="K161" s="52"/>
      <c r="L161" s="145" t="s">
        <v>289</v>
      </c>
      <c r="M161" s="142" t="s">
        <v>285</v>
      </c>
      <c r="N161" s="144" t="s">
        <v>294</v>
      </c>
      <c r="O161" s="142"/>
    </row>
    <row r="162" spans="1:15" s="19" customFormat="1" ht="35.1" customHeight="1">
      <c r="A162" s="9" t="str">
        <f t="shared" si="3"/>
        <v>26-9</v>
      </c>
      <c r="B162" s="9" t="s">
        <v>86</v>
      </c>
      <c r="C162" s="146" t="s">
        <v>270</v>
      </c>
      <c r="D162" s="46" t="s">
        <v>298</v>
      </c>
      <c r="E162" s="149" t="s">
        <v>299</v>
      </c>
      <c r="F162" s="48" t="s">
        <v>33</v>
      </c>
      <c r="G162" s="49">
        <v>4</v>
      </c>
      <c r="H162" s="100">
        <v>14480000</v>
      </c>
      <c r="I162" s="148">
        <v>10560000</v>
      </c>
      <c r="J162" s="51">
        <v>46295</v>
      </c>
      <c r="K162" s="52"/>
      <c r="L162" s="145" t="s">
        <v>289</v>
      </c>
      <c r="M162" s="142" t="s">
        <v>285</v>
      </c>
      <c r="N162" s="142" t="s">
        <v>300</v>
      </c>
      <c r="O162" s="142"/>
    </row>
    <row r="163" spans="1:15" s="19" customFormat="1" ht="35.1" customHeight="1">
      <c r="A163" s="9" t="str">
        <f t="shared" si="3"/>
        <v>26-10</v>
      </c>
      <c r="B163" s="9" t="s">
        <v>86</v>
      </c>
      <c r="C163" s="146" t="s">
        <v>270</v>
      </c>
      <c r="D163" s="46" t="s">
        <v>298</v>
      </c>
      <c r="E163" s="150" t="s">
        <v>301</v>
      </c>
      <c r="F163" s="52" t="s">
        <v>33</v>
      </c>
      <c r="G163" s="52">
        <v>1</v>
      </c>
      <c r="H163" s="100">
        <v>3500000</v>
      </c>
      <c r="I163" s="151">
        <v>3300000</v>
      </c>
      <c r="J163" s="51">
        <v>46295</v>
      </c>
      <c r="K163" s="52"/>
      <c r="L163" s="145" t="s">
        <v>289</v>
      </c>
      <c r="M163" s="142" t="s">
        <v>285</v>
      </c>
      <c r="N163" s="142" t="s">
        <v>300</v>
      </c>
      <c r="O163" s="142"/>
    </row>
    <row r="164" spans="1:15" s="32" customFormat="1" ht="35.1" customHeight="1">
      <c r="A164" s="9" t="str">
        <f t="shared" si="3"/>
        <v>26-11</v>
      </c>
      <c r="B164" s="9" t="s">
        <v>86</v>
      </c>
      <c r="C164" s="146" t="s">
        <v>270</v>
      </c>
      <c r="D164" s="46" t="s">
        <v>302</v>
      </c>
      <c r="E164" s="147" t="s">
        <v>303</v>
      </c>
      <c r="F164" s="52" t="s">
        <v>41</v>
      </c>
      <c r="G164" s="52">
        <v>1</v>
      </c>
      <c r="H164" s="100">
        <v>52000000</v>
      </c>
      <c r="I164" s="151">
        <v>45000000</v>
      </c>
      <c r="J164" s="51">
        <v>46295</v>
      </c>
      <c r="K164" s="52"/>
      <c r="L164" s="145" t="s">
        <v>289</v>
      </c>
      <c r="M164" s="142" t="s">
        <v>304</v>
      </c>
      <c r="N164" s="144" t="s">
        <v>294</v>
      </c>
      <c r="O164" s="142"/>
    </row>
    <row r="165" spans="1:15" s="40" customFormat="1" ht="35.1" customHeight="1">
      <c r="A165" s="9" t="str">
        <f t="shared" si="3"/>
        <v>26-12</v>
      </c>
      <c r="B165" s="9" t="s">
        <v>86</v>
      </c>
      <c r="C165" s="146" t="s">
        <v>270</v>
      </c>
      <c r="D165" s="46" t="s">
        <v>305</v>
      </c>
      <c r="E165" s="147" t="s">
        <v>306</v>
      </c>
      <c r="F165" s="48" t="s">
        <v>33</v>
      </c>
      <c r="G165" s="49">
        <v>1</v>
      </c>
      <c r="H165" s="100">
        <v>95000000</v>
      </c>
      <c r="I165" s="148">
        <v>95000000</v>
      </c>
      <c r="J165" s="51">
        <v>46295</v>
      </c>
      <c r="K165" s="48"/>
      <c r="L165" s="145" t="s">
        <v>289</v>
      </c>
      <c r="M165" s="142" t="s">
        <v>280</v>
      </c>
      <c r="N165" s="142" t="s">
        <v>291</v>
      </c>
      <c r="O165" s="142"/>
    </row>
    <row r="166" spans="1:15" s="42" customFormat="1" ht="35.1" customHeight="1">
      <c r="A166" s="9" t="str">
        <f t="shared" si="3"/>
        <v>26-13</v>
      </c>
      <c r="B166" s="9" t="s">
        <v>86</v>
      </c>
      <c r="C166" s="146" t="s">
        <v>270</v>
      </c>
      <c r="D166" s="46" t="s">
        <v>307</v>
      </c>
      <c r="E166" s="147" t="s">
        <v>308</v>
      </c>
      <c r="F166" s="48" t="s">
        <v>41</v>
      </c>
      <c r="G166" s="49">
        <v>1</v>
      </c>
      <c r="H166" s="100">
        <v>8250000</v>
      </c>
      <c r="I166" s="148">
        <v>5600000</v>
      </c>
      <c r="J166" s="51">
        <v>46295</v>
      </c>
      <c r="K166" s="52"/>
      <c r="L166" s="145" t="s">
        <v>289</v>
      </c>
      <c r="M166" s="142" t="s">
        <v>309</v>
      </c>
      <c r="N166" s="142" t="s">
        <v>291</v>
      </c>
      <c r="O166" s="142"/>
    </row>
    <row r="167" spans="1:15" s="32" customFormat="1" ht="35.1" customHeight="1">
      <c r="A167" s="9" t="str">
        <f t="shared" si="3"/>
        <v>26-14</v>
      </c>
      <c r="B167" s="9" t="s">
        <v>86</v>
      </c>
      <c r="C167" s="146" t="s">
        <v>270</v>
      </c>
      <c r="D167" s="46" t="s">
        <v>310</v>
      </c>
      <c r="E167" s="147" t="s">
        <v>311</v>
      </c>
      <c r="F167" s="48" t="s">
        <v>312</v>
      </c>
      <c r="G167" s="49">
        <v>2</v>
      </c>
      <c r="H167" s="100">
        <v>1320000</v>
      </c>
      <c r="I167" s="148">
        <v>440000</v>
      </c>
      <c r="J167" s="51">
        <v>46276</v>
      </c>
      <c r="K167" s="48"/>
      <c r="L167" s="20"/>
      <c r="M167" s="142" t="s">
        <v>313</v>
      </c>
      <c r="N167" s="142" t="s">
        <v>314</v>
      </c>
      <c r="O167" s="142"/>
    </row>
    <row r="168" spans="1:15" s="19" customFormat="1" ht="35.1" customHeight="1">
      <c r="A168" s="9" t="str">
        <f t="shared" si="3"/>
        <v>26-15</v>
      </c>
      <c r="B168" s="9" t="s">
        <v>86</v>
      </c>
      <c r="C168" s="146" t="s">
        <v>270</v>
      </c>
      <c r="D168" s="46" t="s">
        <v>315</v>
      </c>
      <c r="E168" s="152" t="s">
        <v>316</v>
      </c>
      <c r="F168" s="48" t="s">
        <v>21</v>
      </c>
      <c r="G168" s="49">
        <v>1</v>
      </c>
      <c r="H168" s="100">
        <v>11500000</v>
      </c>
      <c r="I168" s="148">
        <v>10990000</v>
      </c>
      <c r="J168" s="51">
        <v>46276</v>
      </c>
      <c r="K168" s="48"/>
      <c r="L168" s="44"/>
      <c r="M168" s="142" t="s">
        <v>317</v>
      </c>
      <c r="N168" s="142" t="s">
        <v>318</v>
      </c>
      <c r="O168" s="142"/>
    </row>
    <row r="169" spans="1:15" s="25" customFormat="1" ht="35.1" customHeight="1">
      <c r="A169" s="9" t="str">
        <f t="shared" si="3"/>
        <v>26-16</v>
      </c>
      <c r="B169" s="9" t="s">
        <v>86</v>
      </c>
      <c r="C169" s="146" t="s">
        <v>270</v>
      </c>
      <c r="D169" s="46" t="s">
        <v>319</v>
      </c>
      <c r="E169" s="147" t="s">
        <v>320</v>
      </c>
      <c r="F169" s="48" t="s">
        <v>21</v>
      </c>
      <c r="G169" s="49">
        <v>1</v>
      </c>
      <c r="H169" s="100">
        <v>22000000</v>
      </c>
      <c r="I169" s="148">
        <v>19602000</v>
      </c>
      <c r="J169" s="51">
        <v>46276</v>
      </c>
      <c r="K169" s="52"/>
      <c r="L169" s="17"/>
      <c r="M169" s="142" t="s">
        <v>313</v>
      </c>
      <c r="N169" s="142" t="s">
        <v>321</v>
      </c>
      <c r="O169" s="142"/>
    </row>
    <row r="170" spans="1:15" ht="35.1" customHeight="1">
      <c r="A170" s="9" t="str">
        <f t="shared" si="3"/>
        <v>26-17</v>
      </c>
      <c r="B170" s="9" t="s">
        <v>86</v>
      </c>
      <c r="C170" s="146" t="s">
        <v>270</v>
      </c>
      <c r="D170" s="46" t="s">
        <v>322</v>
      </c>
      <c r="E170" s="147" t="s">
        <v>323</v>
      </c>
      <c r="F170" s="48" t="s">
        <v>38</v>
      </c>
      <c r="G170" s="49">
        <v>1</v>
      </c>
      <c r="H170" s="100">
        <v>1600000</v>
      </c>
      <c r="I170" s="148">
        <v>1600000</v>
      </c>
      <c r="J170" s="51">
        <v>46259</v>
      </c>
      <c r="K170" s="52"/>
      <c r="L170" s="30"/>
      <c r="M170" s="142" t="s">
        <v>324</v>
      </c>
      <c r="N170" s="142" t="s">
        <v>314</v>
      </c>
      <c r="O170" s="142" t="s">
        <v>321</v>
      </c>
    </row>
    <row r="171" spans="1:15" s="32" customFormat="1" ht="35.1" customHeight="1">
      <c r="A171" s="9" t="str">
        <f t="shared" si="3"/>
        <v>26-18</v>
      </c>
      <c r="B171" s="9" t="s">
        <v>17</v>
      </c>
      <c r="C171" s="146" t="s">
        <v>270</v>
      </c>
      <c r="D171" s="46" t="s">
        <v>271</v>
      </c>
      <c r="E171" s="147" t="s">
        <v>325</v>
      </c>
      <c r="F171" s="52" t="s">
        <v>21</v>
      </c>
      <c r="G171" s="52">
        <v>2</v>
      </c>
      <c r="H171" s="100">
        <v>13000000</v>
      </c>
      <c r="I171" s="148">
        <v>13000000</v>
      </c>
      <c r="J171" s="51">
        <v>46239</v>
      </c>
      <c r="K171" s="52"/>
      <c r="L171" s="17"/>
      <c r="M171" s="142" t="s">
        <v>275</v>
      </c>
      <c r="N171" s="142" t="s">
        <v>321</v>
      </c>
      <c r="O171" s="142"/>
    </row>
    <row r="172" spans="1:15" s="32" customFormat="1" ht="35.1" customHeight="1">
      <c r="A172" s="9" t="str">
        <f t="shared" si="3"/>
        <v>26-19</v>
      </c>
      <c r="B172" s="9" t="s">
        <v>17</v>
      </c>
      <c r="C172" s="146" t="s">
        <v>270</v>
      </c>
      <c r="D172" s="46" t="s">
        <v>326</v>
      </c>
      <c r="E172" s="147" t="s">
        <v>327</v>
      </c>
      <c r="F172" s="52" t="s">
        <v>38</v>
      </c>
      <c r="G172" s="52">
        <v>1</v>
      </c>
      <c r="H172" s="100">
        <v>84000000</v>
      </c>
      <c r="I172" s="148">
        <v>84000000</v>
      </c>
      <c r="J172" s="51">
        <v>46174</v>
      </c>
      <c r="K172" s="52"/>
      <c r="L172" s="17"/>
      <c r="M172" s="142" t="s">
        <v>280</v>
      </c>
      <c r="N172" s="144" t="s">
        <v>328</v>
      </c>
      <c r="O172" s="142"/>
    </row>
    <row r="173" spans="1:15" s="32" customFormat="1" ht="35.1" customHeight="1">
      <c r="A173" s="9" t="str">
        <f t="shared" si="3"/>
        <v>26-20</v>
      </c>
      <c r="B173" s="9" t="s">
        <v>329</v>
      </c>
      <c r="C173" s="146" t="s">
        <v>270</v>
      </c>
      <c r="D173" s="46" t="s">
        <v>330</v>
      </c>
      <c r="E173" s="147" t="s">
        <v>331</v>
      </c>
      <c r="F173" s="48" t="s">
        <v>21</v>
      </c>
      <c r="G173" s="49">
        <v>1</v>
      </c>
      <c r="H173" s="100">
        <v>28600000</v>
      </c>
      <c r="I173" s="148"/>
      <c r="J173" s="51"/>
      <c r="K173" s="52"/>
      <c r="L173" s="20"/>
      <c r="M173" s="142" t="s">
        <v>332</v>
      </c>
      <c r="N173" s="142" t="s">
        <v>286</v>
      </c>
      <c r="O173" s="142"/>
    </row>
    <row r="174" spans="1:15" s="54" customFormat="1" ht="35.1" customHeight="1">
      <c r="A174" s="9" t="str">
        <f t="shared" si="3"/>
        <v>26-21</v>
      </c>
      <c r="B174" s="9" t="s">
        <v>333</v>
      </c>
      <c r="C174" s="146" t="s">
        <v>270</v>
      </c>
      <c r="D174" s="46" t="s">
        <v>334</v>
      </c>
      <c r="E174" s="147" t="s">
        <v>335</v>
      </c>
      <c r="F174" s="48" t="s">
        <v>21</v>
      </c>
      <c r="G174" s="49">
        <v>1</v>
      </c>
      <c r="H174" s="100">
        <v>6000000</v>
      </c>
      <c r="I174" s="148"/>
      <c r="J174" s="51"/>
      <c r="K174" s="52"/>
      <c r="L174" s="53"/>
      <c r="M174" s="142" t="s">
        <v>285</v>
      </c>
      <c r="N174" s="142" t="s">
        <v>336</v>
      </c>
      <c r="O174" s="142"/>
    </row>
    <row r="175" spans="1:15" s="32" customFormat="1" ht="35.1" customHeight="1">
      <c r="A175" s="9" t="str">
        <f t="shared" si="3"/>
        <v>26-22</v>
      </c>
      <c r="B175" s="9" t="s">
        <v>329</v>
      </c>
      <c r="C175" s="146" t="s">
        <v>270</v>
      </c>
      <c r="D175" s="46" t="s">
        <v>319</v>
      </c>
      <c r="E175" s="147" t="s">
        <v>337</v>
      </c>
      <c r="F175" s="48" t="s">
        <v>21</v>
      </c>
      <c r="G175" s="49">
        <v>1</v>
      </c>
      <c r="H175" s="100">
        <v>27400000</v>
      </c>
      <c r="I175" s="148"/>
      <c r="J175" s="51"/>
      <c r="K175" s="52"/>
      <c r="L175" s="30"/>
      <c r="M175" s="142" t="s">
        <v>313</v>
      </c>
      <c r="N175" s="142" t="s">
        <v>338</v>
      </c>
      <c r="O175" s="142"/>
    </row>
    <row r="176" spans="1:15" s="54" customFormat="1" ht="35.1" customHeight="1">
      <c r="A176" s="9" t="str">
        <f t="shared" si="3"/>
        <v>26-23</v>
      </c>
      <c r="B176" s="9" t="s">
        <v>86</v>
      </c>
      <c r="C176" s="146" t="s">
        <v>270</v>
      </c>
      <c r="D176" s="46" t="s">
        <v>339</v>
      </c>
      <c r="E176" s="147" t="s">
        <v>340</v>
      </c>
      <c r="F176" s="48" t="s">
        <v>38</v>
      </c>
      <c r="G176" s="49">
        <v>1</v>
      </c>
      <c r="H176" s="100">
        <v>7000000</v>
      </c>
      <c r="I176" s="148">
        <v>6500000</v>
      </c>
      <c r="J176" s="51">
        <v>46259</v>
      </c>
      <c r="K176" s="52"/>
      <c r="L176" s="30"/>
      <c r="M176" s="142" t="s">
        <v>341</v>
      </c>
      <c r="N176" s="142" t="s">
        <v>342</v>
      </c>
      <c r="O176" s="142"/>
    </row>
    <row r="177" spans="1:15" s="32" customFormat="1" ht="35.1" customHeight="1">
      <c r="A177" s="9" t="str">
        <f t="shared" si="3"/>
        <v>26-24</v>
      </c>
      <c r="B177" s="9" t="s">
        <v>17</v>
      </c>
      <c r="C177" s="146" t="s">
        <v>270</v>
      </c>
      <c r="D177" s="46" t="s">
        <v>307</v>
      </c>
      <c r="E177" s="147" t="s">
        <v>343</v>
      </c>
      <c r="F177" s="48" t="s">
        <v>21</v>
      </c>
      <c r="G177" s="49">
        <v>2</v>
      </c>
      <c r="H177" s="100">
        <v>32000000</v>
      </c>
      <c r="I177" s="148">
        <v>29000000</v>
      </c>
      <c r="J177" s="51">
        <v>46184</v>
      </c>
      <c r="K177" s="52"/>
      <c r="L177" s="56"/>
      <c r="M177" s="142" t="s">
        <v>309</v>
      </c>
      <c r="N177" s="143" t="s">
        <v>276</v>
      </c>
      <c r="O177" s="142"/>
    </row>
    <row r="178" spans="1:15" s="54" customFormat="1" ht="35.1" customHeight="1">
      <c r="A178" s="9" t="str">
        <f t="shared" si="3"/>
        <v>26-25</v>
      </c>
      <c r="B178" s="9" t="s">
        <v>17</v>
      </c>
      <c r="C178" s="146" t="s">
        <v>270</v>
      </c>
      <c r="D178" s="153" t="s">
        <v>344</v>
      </c>
      <c r="E178" s="154" t="s">
        <v>345</v>
      </c>
      <c r="F178" s="52" t="s">
        <v>38</v>
      </c>
      <c r="G178" s="155">
        <v>1</v>
      </c>
      <c r="H178" s="100">
        <v>132000000</v>
      </c>
      <c r="I178" s="156">
        <v>125000000</v>
      </c>
      <c r="J178" s="51">
        <v>46177</v>
      </c>
      <c r="K178" s="153"/>
      <c r="L178" s="30"/>
      <c r="M178" s="142" t="s">
        <v>309</v>
      </c>
      <c r="N178" s="144" t="s">
        <v>328</v>
      </c>
      <c r="O178" s="142"/>
    </row>
    <row r="179" spans="1:15" s="25" customFormat="1" ht="35.1" customHeight="1">
      <c r="A179" s="9" t="str">
        <f t="shared" si="3"/>
        <v>26-26</v>
      </c>
      <c r="B179" s="9" t="s">
        <v>86</v>
      </c>
      <c r="C179" s="146" t="s">
        <v>270</v>
      </c>
      <c r="D179" s="153" t="s">
        <v>271</v>
      </c>
      <c r="E179" s="154" t="s">
        <v>346</v>
      </c>
      <c r="F179" s="52" t="s">
        <v>21</v>
      </c>
      <c r="G179" s="155">
        <v>1</v>
      </c>
      <c r="H179" s="100">
        <v>900000</v>
      </c>
      <c r="I179" s="156">
        <v>900000</v>
      </c>
      <c r="J179" s="51">
        <v>46259</v>
      </c>
      <c r="K179" s="153"/>
      <c r="L179" s="30"/>
      <c r="M179" s="142" t="s">
        <v>275</v>
      </c>
      <c r="N179" s="142" t="s">
        <v>300</v>
      </c>
      <c r="O179" s="142"/>
    </row>
    <row r="180" spans="1:15" s="32" customFormat="1" ht="35.1" customHeight="1">
      <c r="A180" s="9" t="str">
        <f t="shared" si="3"/>
        <v>26-27</v>
      </c>
      <c r="B180" s="9" t="s">
        <v>17</v>
      </c>
      <c r="C180" s="146" t="s">
        <v>270</v>
      </c>
      <c r="D180" s="153" t="s">
        <v>347</v>
      </c>
      <c r="E180" s="157" t="s">
        <v>348</v>
      </c>
      <c r="F180" s="52" t="s">
        <v>21</v>
      </c>
      <c r="G180" s="155">
        <v>1</v>
      </c>
      <c r="H180" s="100">
        <v>22000000</v>
      </c>
      <c r="I180" s="156">
        <v>21000000</v>
      </c>
      <c r="J180" s="51">
        <v>46223</v>
      </c>
      <c r="K180" s="153"/>
      <c r="L180" s="30"/>
      <c r="M180" s="142" t="s">
        <v>275</v>
      </c>
      <c r="N180" s="142" t="s">
        <v>291</v>
      </c>
      <c r="O180" s="142"/>
    </row>
    <row r="181" spans="1:15" s="32" customFormat="1" ht="35.1" customHeight="1">
      <c r="A181" s="9" t="str">
        <f t="shared" si="3"/>
        <v>26-28</v>
      </c>
      <c r="B181" s="9" t="s">
        <v>185</v>
      </c>
      <c r="C181" s="146" t="s">
        <v>270</v>
      </c>
      <c r="D181" s="153" t="s">
        <v>349</v>
      </c>
      <c r="E181" s="154" t="s">
        <v>350</v>
      </c>
      <c r="F181" s="52" t="s">
        <v>21</v>
      </c>
      <c r="G181" s="155">
        <v>1</v>
      </c>
      <c r="H181" s="100">
        <v>419000000</v>
      </c>
      <c r="I181" s="156"/>
      <c r="J181" s="51"/>
      <c r="K181" s="153"/>
      <c r="L181" s="30"/>
      <c r="M181" s="142" t="s">
        <v>285</v>
      </c>
      <c r="N181" s="142" t="s">
        <v>351</v>
      </c>
      <c r="O181" s="142"/>
    </row>
    <row r="182" spans="1:15" s="32" customFormat="1" ht="35.1" customHeight="1">
      <c r="A182" s="9" t="str">
        <f t="shared" si="3"/>
        <v>26-29</v>
      </c>
      <c r="B182" s="9" t="s">
        <v>86</v>
      </c>
      <c r="C182" s="146" t="s">
        <v>270</v>
      </c>
      <c r="D182" s="153" t="s">
        <v>352</v>
      </c>
      <c r="E182" s="158" t="s">
        <v>316</v>
      </c>
      <c r="F182" s="52" t="s">
        <v>33</v>
      </c>
      <c r="G182" s="155">
        <v>1</v>
      </c>
      <c r="H182" s="100">
        <v>11500000</v>
      </c>
      <c r="I182" s="156">
        <v>10990000</v>
      </c>
      <c r="J182" s="51">
        <v>46276</v>
      </c>
      <c r="K182" s="153"/>
      <c r="L182" s="30"/>
      <c r="M182" s="142" t="s">
        <v>317</v>
      </c>
      <c r="N182" s="142" t="s">
        <v>318</v>
      </c>
      <c r="O182" s="142"/>
    </row>
    <row r="183" spans="1:15" s="32" customFormat="1" ht="35.1" customHeight="1">
      <c r="A183" s="9" t="str">
        <f t="shared" si="3"/>
        <v>26-30</v>
      </c>
      <c r="B183" s="9" t="s">
        <v>17</v>
      </c>
      <c r="C183" s="146" t="s">
        <v>270</v>
      </c>
      <c r="D183" s="153" t="s">
        <v>353</v>
      </c>
      <c r="E183" s="154" t="s">
        <v>354</v>
      </c>
      <c r="F183" s="52" t="s">
        <v>33</v>
      </c>
      <c r="G183" s="155">
        <v>1</v>
      </c>
      <c r="H183" s="100">
        <v>8800000</v>
      </c>
      <c r="I183" s="156">
        <v>8800000</v>
      </c>
      <c r="J183" s="51">
        <v>46276</v>
      </c>
      <c r="K183" s="153"/>
      <c r="L183" s="56"/>
      <c r="M183" s="142" t="s">
        <v>285</v>
      </c>
      <c r="N183" s="142" t="s">
        <v>314</v>
      </c>
      <c r="O183" s="142"/>
    </row>
    <row r="184" spans="1:15" s="54" customFormat="1" ht="35.1" customHeight="1">
      <c r="A184" s="9" t="str">
        <f t="shared" si="3"/>
        <v>26-31</v>
      </c>
      <c r="B184" s="9" t="s">
        <v>17</v>
      </c>
      <c r="C184" s="146" t="s">
        <v>270</v>
      </c>
      <c r="D184" s="153" t="s">
        <v>355</v>
      </c>
      <c r="E184" s="154" t="s">
        <v>356</v>
      </c>
      <c r="F184" s="52" t="s">
        <v>21</v>
      </c>
      <c r="G184" s="155">
        <v>1</v>
      </c>
      <c r="H184" s="100">
        <v>15400000</v>
      </c>
      <c r="I184" s="156">
        <v>15400000</v>
      </c>
      <c r="J184" s="51">
        <v>46276</v>
      </c>
      <c r="K184" s="153"/>
      <c r="L184" s="30"/>
      <c r="M184" s="142" t="s">
        <v>280</v>
      </c>
      <c r="N184" s="142" t="s">
        <v>314</v>
      </c>
      <c r="O184" s="142"/>
    </row>
    <row r="185" spans="1:15" s="32" customFormat="1" ht="35.1" customHeight="1">
      <c r="A185" s="9" t="str">
        <f t="shared" si="3"/>
        <v>26-32</v>
      </c>
      <c r="B185" s="9" t="s">
        <v>17</v>
      </c>
      <c r="C185" s="146" t="s">
        <v>270</v>
      </c>
      <c r="D185" s="153" t="s">
        <v>355</v>
      </c>
      <c r="E185" s="154" t="s">
        <v>357</v>
      </c>
      <c r="F185" s="52" t="s">
        <v>41</v>
      </c>
      <c r="G185" s="155">
        <v>1</v>
      </c>
      <c r="H185" s="100">
        <v>29000000</v>
      </c>
      <c r="I185" s="156">
        <v>28750000</v>
      </c>
      <c r="J185" s="51">
        <v>46259</v>
      </c>
      <c r="K185" s="153"/>
      <c r="L185" s="56"/>
      <c r="M185" s="142" t="s">
        <v>280</v>
      </c>
      <c r="N185" s="142" t="s">
        <v>286</v>
      </c>
      <c r="O185" s="142"/>
    </row>
    <row r="186" spans="1:15" s="32" customFormat="1" ht="35.1" customHeight="1">
      <c r="A186" s="9" t="str">
        <f t="shared" si="3"/>
        <v>26-33</v>
      </c>
      <c r="B186" s="9" t="s">
        <v>185</v>
      </c>
      <c r="C186" s="146" t="s">
        <v>270</v>
      </c>
      <c r="D186" s="153" t="s">
        <v>355</v>
      </c>
      <c r="E186" s="154" t="s">
        <v>358</v>
      </c>
      <c r="F186" s="52" t="s">
        <v>33</v>
      </c>
      <c r="G186" s="155">
        <v>1</v>
      </c>
      <c r="H186" s="100">
        <v>110000000</v>
      </c>
      <c r="I186" s="156"/>
      <c r="J186" s="51"/>
      <c r="K186" s="153"/>
      <c r="L186" s="20"/>
      <c r="M186" s="142" t="s">
        <v>280</v>
      </c>
      <c r="N186" s="142" t="s">
        <v>321</v>
      </c>
      <c r="O186" s="142"/>
    </row>
    <row r="187" spans="1:15" s="32" customFormat="1" ht="35.1" customHeight="1">
      <c r="A187" s="9" t="str">
        <f t="shared" si="3"/>
        <v>26-34</v>
      </c>
      <c r="B187" s="9" t="s">
        <v>86</v>
      </c>
      <c r="C187" s="146" t="s">
        <v>270</v>
      </c>
      <c r="D187" s="153" t="s">
        <v>302</v>
      </c>
      <c r="E187" s="154" t="s">
        <v>359</v>
      </c>
      <c r="F187" s="52" t="s">
        <v>41</v>
      </c>
      <c r="G187" s="155">
        <v>1</v>
      </c>
      <c r="H187" s="100">
        <v>110000000</v>
      </c>
      <c r="I187" s="156">
        <v>95000000</v>
      </c>
      <c r="J187" s="51">
        <v>46184</v>
      </c>
      <c r="K187" s="153"/>
      <c r="L187" s="30"/>
      <c r="M187" s="142" t="s">
        <v>304</v>
      </c>
      <c r="N187" s="143" t="s">
        <v>276</v>
      </c>
      <c r="O187" s="142"/>
    </row>
    <row r="188" spans="1:15" s="32" customFormat="1" ht="35.1" customHeight="1">
      <c r="A188" s="9" t="str">
        <f t="shared" si="3"/>
        <v>26-35</v>
      </c>
      <c r="B188" s="9" t="s">
        <v>185</v>
      </c>
      <c r="C188" s="146" t="s">
        <v>270</v>
      </c>
      <c r="D188" s="153" t="s">
        <v>302</v>
      </c>
      <c r="E188" s="154" t="s">
        <v>360</v>
      </c>
      <c r="F188" s="52" t="s">
        <v>41</v>
      </c>
      <c r="G188" s="155">
        <v>1</v>
      </c>
      <c r="H188" s="100">
        <v>101640000</v>
      </c>
      <c r="I188" s="156"/>
      <c r="J188" s="51"/>
      <c r="K188" s="153"/>
      <c r="L188" s="30"/>
      <c r="M188" s="142" t="s">
        <v>304</v>
      </c>
      <c r="N188" s="143" t="s">
        <v>361</v>
      </c>
      <c r="O188" s="142"/>
    </row>
    <row r="189" spans="1:15" s="54" customFormat="1" ht="35.1" customHeight="1">
      <c r="A189" s="9" t="str">
        <f t="shared" si="3"/>
        <v>26-36</v>
      </c>
      <c r="B189" s="9" t="s">
        <v>185</v>
      </c>
      <c r="C189" s="146" t="s">
        <v>270</v>
      </c>
      <c r="D189" s="153" t="s">
        <v>302</v>
      </c>
      <c r="E189" s="154" t="s">
        <v>362</v>
      </c>
      <c r="F189" s="52" t="s">
        <v>41</v>
      </c>
      <c r="G189" s="155">
        <v>1</v>
      </c>
      <c r="H189" s="100">
        <v>264000000</v>
      </c>
      <c r="I189" s="156"/>
      <c r="J189" s="51"/>
      <c r="K189" s="153"/>
      <c r="L189" s="56"/>
      <c r="M189" s="142" t="s">
        <v>304</v>
      </c>
      <c r="N189" s="143" t="s">
        <v>361</v>
      </c>
      <c r="O189" s="142"/>
    </row>
    <row r="190" spans="1:15" s="32" customFormat="1" ht="35.1" customHeight="1">
      <c r="A190" s="9" t="str">
        <f t="shared" si="3"/>
        <v>26-37</v>
      </c>
      <c r="B190" s="9" t="s">
        <v>17</v>
      </c>
      <c r="C190" s="146" t="s">
        <v>270</v>
      </c>
      <c r="D190" s="153" t="s">
        <v>302</v>
      </c>
      <c r="E190" s="154" t="s">
        <v>363</v>
      </c>
      <c r="F190" s="52" t="s">
        <v>21</v>
      </c>
      <c r="G190" s="155">
        <v>2</v>
      </c>
      <c r="H190" s="100">
        <v>300000000</v>
      </c>
      <c r="I190" s="156">
        <v>250000000</v>
      </c>
      <c r="J190" s="51">
        <v>46192</v>
      </c>
      <c r="K190" s="153"/>
      <c r="L190" s="30"/>
      <c r="M190" s="142" t="s">
        <v>304</v>
      </c>
      <c r="N190" s="144" t="s">
        <v>294</v>
      </c>
      <c r="O190" s="142"/>
    </row>
    <row r="191" spans="1:15" s="54" customFormat="1" ht="35.1" customHeight="1">
      <c r="A191" s="9" t="str">
        <f t="shared" si="3"/>
        <v>26-38</v>
      </c>
      <c r="B191" s="9" t="s">
        <v>17</v>
      </c>
      <c r="C191" s="146" t="s">
        <v>270</v>
      </c>
      <c r="D191" s="153" t="s">
        <v>364</v>
      </c>
      <c r="E191" s="154" t="s">
        <v>365</v>
      </c>
      <c r="F191" s="52" t="s">
        <v>21</v>
      </c>
      <c r="G191" s="155">
        <v>4</v>
      </c>
      <c r="H191" s="100">
        <v>19360000</v>
      </c>
      <c r="I191" s="156">
        <v>17600000</v>
      </c>
      <c r="J191" s="51">
        <v>46239</v>
      </c>
      <c r="K191" s="153"/>
      <c r="L191" s="30"/>
      <c r="M191" s="142" t="s">
        <v>304</v>
      </c>
      <c r="N191" s="144" t="s">
        <v>366</v>
      </c>
      <c r="O191" s="142"/>
    </row>
    <row r="192" spans="1:15" s="32" customFormat="1" ht="35.1" customHeight="1">
      <c r="A192" s="9" t="str">
        <f t="shared" si="3"/>
        <v>26-39</v>
      </c>
      <c r="B192" s="9" t="s">
        <v>185</v>
      </c>
      <c r="C192" s="146" t="s">
        <v>270</v>
      </c>
      <c r="D192" s="153" t="s">
        <v>364</v>
      </c>
      <c r="E192" s="159" t="s">
        <v>367</v>
      </c>
      <c r="F192" s="52" t="s">
        <v>41</v>
      </c>
      <c r="G192" s="155">
        <v>1</v>
      </c>
      <c r="H192" s="100">
        <v>88000000</v>
      </c>
      <c r="I192" s="148"/>
      <c r="J192" s="51"/>
      <c r="K192" s="153"/>
      <c r="L192" s="30"/>
      <c r="M192" s="142" t="s">
        <v>304</v>
      </c>
      <c r="N192" s="142" t="s">
        <v>368</v>
      </c>
      <c r="O192" s="142"/>
    </row>
    <row r="193" spans="1:15" s="54" customFormat="1" ht="35.1" customHeight="1">
      <c r="A193" s="9" t="str">
        <f t="shared" si="3"/>
        <v>26-40</v>
      </c>
      <c r="B193" s="9" t="s">
        <v>185</v>
      </c>
      <c r="C193" s="146" t="s">
        <v>270</v>
      </c>
      <c r="D193" s="153" t="s">
        <v>364</v>
      </c>
      <c r="E193" s="159" t="s">
        <v>367</v>
      </c>
      <c r="F193" s="52" t="s">
        <v>21</v>
      </c>
      <c r="G193" s="155">
        <v>3</v>
      </c>
      <c r="H193" s="100">
        <v>264000000</v>
      </c>
      <c r="I193" s="148"/>
      <c r="J193" s="51"/>
      <c r="K193" s="153"/>
      <c r="L193" s="30"/>
      <c r="M193" s="142" t="s">
        <v>304</v>
      </c>
      <c r="N193" s="142" t="s">
        <v>368</v>
      </c>
      <c r="O193" s="142"/>
    </row>
    <row r="194" spans="1:15" s="32" customFormat="1" ht="35.1" customHeight="1">
      <c r="A194" s="9" t="str">
        <f t="shared" si="3"/>
        <v>26-41</v>
      </c>
      <c r="B194" s="9" t="s">
        <v>17</v>
      </c>
      <c r="C194" s="146" t="s">
        <v>270</v>
      </c>
      <c r="D194" s="153" t="s">
        <v>364</v>
      </c>
      <c r="E194" s="154" t="s">
        <v>369</v>
      </c>
      <c r="F194" s="52" t="s">
        <v>41</v>
      </c>
      <c r="G194" s="155">
        <v>4</v>
      </c>
      <c r="H194" s="160" t="s">
        <v>151</v>
      </c>
      <c r="I194" s="148" t="s">
        <v>151</v>
      </c>
      <c r="J194" s="51">
        <v>46232</v>
      </c>
      <c r="K194" s="153"/>
      <c r="L194" s="30"/>
      <c r="M194" s="142" t="s">
        <v>304</v>
      </c>
      <c r="N194" s="144" t="s">
        <v>366</v>
      </c>
      <c r="O194" s="142"/>
    </row>
    <row r="195" spans="1:15" s="32" customFormat="1" ht="35.1" customHeight="1">
      <c r="A195" s="9" t="str">
        <f t="shared" si="3"/>
        <v>26-42</v>
      </c>
      <c r="B195" s="9" t="s">
        <v>185</v>
      </c>
      <c r="C195" s="146" t="s">
        <v>270</v>
      </c>
      <c r="D195" s="46" t="s">
        <v>271</v>
      </c>
      <c r="E195" s="147" t="s">
        <v>370</v>
      </c>
      <c r="F195" s="48" t="s">
        <v>21</v>
      </c>
      <c r="G195" s="49">
        <v>1</v>
      </c>
      <c r="H195" s="100">
        <v>140000000</v>
      </c>
      <c r="I195" s="148"/>
      <c r="J195" s="51"/>
      <c r="K195" s="161" t="s">
        <v>371</v>
      </c>
      <c r="L195" s="162" t="s">
        <v>372</v>
      </c>
      <c r="M195" s="142" t="s">
        <v>275</v>
      </c>
      <c r="N195" s="142" t="s">
        <v>321</v>
      </c>
      <c r="O195" s="142"/>
    </row>
    <row r="196" spans="1:15" s="32" customFormat="1" ht="35.1" customHeight="1">
      <c r="A196" s="9" t="str">
        <f t="shared" si="3"/>
        <v>26-43</v>
      </c>
      <c r="B196" s="9" t="s">
        <v>17</v>
      </c>
      <c r="C196" s="146" t="s">
        <v>270</v>
      </c>
      <c r="D196" s="46" t="s">
        <v>373</v>
      </c>
      <c r="E196" s="163" t="s">
        <v>374</v>
      </c>
      <c r="F196" s="48" t="s">
        <v>21</v>
      </c>
      <c r="G196" s="49">
        <v>1</v>
      </c>
      <c r="H196" s="100">
        <v>19800000</v>
      </c>
      <c r="I196" s="148">
        <v>19500000</v>
      </c>
      <c r="J196" s="51">
        <v>46223</v>
      </c>
      <c r="K196" s="48"/>
      <c r="L196" s="30"/>
      <c r="M196" s="142" t="s">
        <v>285</v>
      </c>
      <c r="N196" s="144" t="s">
        <v>294</v>
      </c>
      <c r="O196" s="142"/>
    </row>
    <row r="197" spans="1:15" s="54" customFormat="1" ht="35.1" customHeight="1">
      <c r="A197" s="9" t="str">
        <f t="shared" si="3"/>
        <v>26-44</v>
      </c>
      <c r="B197" s="9" t="s">
        <v>17</v>
      </c>
      <c r="C197" s="146" t="s">
        <v>270</v>
      </c>
      <c r="D197" s="46" t="s">
        <v>373</v>
      </c>
      <c r="E197" s="163" t="s">
        <v>375</v>
      </c>
      <c r="F197" s="48" t="s">
        <v>21</v>
      </c>
      <c r="G197" s="49">
        <v>1</v>
      </c>
      <c r="H197" s="100">
        <v>329000000</v>
      </c>
      <c r="I197" s="148">
        <v>299000000</v>
      </c>
      <c r="J197" s="51">
        <v>46223</v>
      </c>
      <c r="K197" s="48"/>
      <c r="L197" s="30"/>
      <c r="M197" s="142" t="s">
        <v>285</v>
      </c>
      <c r="N197" s="144" t="s">
        <v>294</v>
      </c>
      <c r="O197" s="142"/>
    </row>
    <row r="198" spans="1:15" s="32" customFormat="1" ht="35.1" customHeight="1">
      <c r="A198" s="9" t="str">
        <f t="shared" si="3"/>
        <v>26-45</v>
      </c>
      <c r="B198" s="9" t="s">
        <v>185</v>
      </c>
      <c r="C198" s="146" t="s">
        <v>270</v>
      </c>
      <c r="D198" s="46" t="s">
        <v>326</v>
      </c>
      <c r="E198" s="147" t="s">
        <v>376</v>
      </c>
      <c r="F198" s="48" t="s">
        <v>33</v>
      </c>
      <c r="G198" s="49">
        <v>1</v>
      </c>
      <c r="H198" s="100">
        <v>402000000</v>
      </c>
      <c r="I198" s="148"/>
      <c r="J198" s="51"/>
      <c r="K198" s="48"/>
      <c r="L198" s="20"/>
      <c r="M198" s="144" t="s">
        <v>377</v>
      </c>
      <c r="N198" s="142" t="s">
        <v>378</v>
      </c>
      <c r="O198" s="142"/>
    </row>
    <row r="199" spans="1:15" s="71" customFormat="1" ht="35.1" customHeight="1">
      <c r="A199" s="9" t="str">
        <f t="shared" si="3"/>
        <v>26-46</v>
      </c>
      <c r="B199" s="9" t="s">
        <v>86</v>
      </c>
      <c r="C199" s="146" t="s">
        <v>270</v>
      </c>
      <c r="D199" s="153" t="s">
        <v>379</v>
      </c>
      <c r="E199" s="164" t="s">
        <v>380</v>
      </c>
      <c r="F199" s="52" t="s">
        <v>21</v>
      </c>
      <c r="G199" s="165">
        <v>1</v>
      </c>
      <c r="H199" s="100">
        <v>9700000</v>
      </c>
      <c r="I199" s="156">
        <v>9700000</v>
      </c>
      <c r="J199" s="51">
        <v>46259</v>
      </c>
      <c r="K199" s="153"/>
      <c r="L199" s="56"/>
      <c r="M199" s="142" t="s">
        <v>275</v>
      </c>
      <c r="N199" s="142" t="s">
        <v>318</v>
      </c>
      <c r="O199" s="142"/>
    </row>
    <row r="200" spans="1:15" s="25" customFormat="1" ht="35.1" customHeight="1">
      <c r="A200" s="9" t="str">
        <f t="shared" si="3"/>
        <v>26-47</v>
      </c>
      <c r="B200" s="9" t="s">
        <v>86</v>
      </c>
      <c r="C200" s="146" t="s">
        <v>270</v>
      </c>
      <c r="D200" s="153" t="s">
        <v>379</v>
      </c>
      <c r="E200" s="164" t="s">
        <v>323</v>
      </c>
      <c r="F200" s="52" t="s">
        <v>41</v>
      </c>
      <c r="G200" s="165">
        <v>1</v>
      </c>
      <c r="H200" s="100">
        <v>1600000</v>
      </c>
      <c r="I200" s="156">
        <v>1600000</v>
      </c>
      <c r="J200" s="51">
        <v>46259</v>
      </c>
      <c r="K200" s="153"/>
      <c r="L200" s="30"/>
      <c r="M200" s="142" t="s">
        <v>324</v>
      </c>
      <c r="N200" s="142" t="s">
        <v>314</v>
      </c>
      <c r="O200" s="142" t="s">
        <v>321</v>
      </c>
    </row>
    <row r="201" spans="1:15" s="25" customFormat="1" ht="35.1" customHeight="1">
      <c r="A201" s="9" t="str">
        <f t="shared" si="3"/>
        <v>26-48</v>
      </c>
      <c r="B201" s="9" t="s">
        <v>17</v>
      </c>
      <c r="C201" s="146" t="s">
        <v>270</v>
      </c>
      <c r="D201" s="153" t="s">
        <v>381</v>
      </c>
      <c r="E201" s="164" t="s">
        <v>382</v>
      </c>
      <c r="F201" s="52" t="s">
        <v>383</v>
      </c>
      <c r="G201" s="165">
        <v>3</v>
      </c>
      <c r="H201" s="100">
        <v>198000000</v>
      </c>
      <c r="I201" s="156">
        <v>180000000</v>
      </c>
      <c r="J201" s="51">
        <v>46218</v>
      </c>
      <c r="K201" s="153"/>
      <c r="L201" s="56"/>
      <c r="M201" s="142" t="s">
        <v>313</v>
      </c>
      <c r="N201" s="142" t="s">
        <v>321</v>
      </c>
      <c r="O201" s="142" t="s">
        <v>291</v>
      </c>
    </row>
    <row r="202" spans="1:15" s="25" customFormat="1" ht="35.1" customHeight="1">
      <c r="A202" s="9" t="str">
        <f t="shared" si="3"/>
        <v>26-49</v>
      </c>
      <c r="B202" s="9" t="s">
        <v>17</v>
      </c>
      <c r="C202" s="146" t="s">
        <v>270</v>
      </c>
      <c r="D202" s="153" t="s">
        <v>384</v>
      </c>
      <c r="E202" s="164" t="s">
        <v>293</v>
      </c>
      <c r="F202" s="52" t="s">
        <v>21</v>
      </c>
      <c r="G202" s="165">
        <v>2</v>
      </c>
      <c r="H202" s="100">
        <v>74000000</v>
      </c>
      <c r="I202" s="156">
        <v>74000000</v>
      </c>
      <c r="J202" s="51">
        <v>46162</v>
      </c>
      <c r="K202" s="153"/>
      <c r="L202" s="30"/>
      <c r="M202" s="142" t="s">
        <v>275</v>
      </c>
      <c r="N202" s="143" t="s">
        <v>385</v>
      </c>
      <c r="O202" s="142" t="s">
        <v>17</v>
      </c>
    </row>
    <row r="203" spans="1:15" s="54" customFormat="1" ht="35.1" customHeight="1">
      <c r="A203" s="9" t="str">
        <f t="shared" si="3"/>
        <v>26-50</v>
      </c>
      <c r="B203" s="9" t="s">
        <v>17</v>
      </c>
      <c r="C203" s="146" t="s">
        <v>270</v>
      </c>
      <c r="D203" s="153" t="s">
        <v>379</v>
      </c>
      <c r="E203" s="164" t="s">
        <v>386</v>
      </c>
      <c r="F203" s="52" t="s">
        <v>38</v>
      </c>
      <c r="G203" s="165">
        <v>1</v>
      </c>
      <c r="H203" s="100">
        <v>71000000</v>
      </c>
      <c r="I203" s="156">
        <v>71000000</v>
      </c>
      <c r="J203" s="51">
        <v>46162</v>
      </c>
      <c r="K203" s="153"/>
      <c r="L203" s="30"/>
      <c r="M203" s="142" t="s">
        <v>275</v>
      </c>
      <c r="N203" s="143" t="s">
        <v>385</v>
      </c>
      <c r="O203" s="142" t="s">
        <v>17</v>
      </c>
    </row>
    <row r="204" spans="1:15" s="32" customFormat="1" ht="35.1" customHeight="1">
      <c r="A204" s="9" t="str">
        <f t="shared" si="3"/>
        <v>26-51</v>
      </c>
      <c r="B204" s="9" t="s">
        <v>17</v>
      </c>
      <c r="C204" s="146" t="s">
        <v>270</v>
      </c>
      <c r="D204" s="153" t="s">
        <v>379</v>
      </c>
      <c r="E204" s="164" t="s">
        <v>293</v>
      </c>
      <c r="F204" s="52" t="s">
        <v>38</v>
      </c>
      <c r="G204" s="165">
        <v>1</v>
      </c>
      <c r="H204" s="100">
        <v>41000000</v>
      </c>
      <c r="I204" s="156">
        <v>41000000</v>
      </c>
      <c r="J204" s="51">
        <v>46162</v>
      </c>
      <c r="K204" s="153"/>
      <c r="L204" s="30"/>
      <c r="M204" s="142" t="s">
        <v>275</v>
      </c>
      <c r="N204" s="143" t="s">
        <v>385</v>
      </c>
      <c r="O204" s="142" t="s">
        <v>17</v>
      </c>
    </row>
    <row r="205" spans="1:15" s="32" customFormat="1" ht="35.1" customHeight="1">
      <c r="A205" s="9" t="str">
        <f t="shared" si="3"/>
        <v>26-52</v>
      </c>
      <c r="B205" s="9" t="s">
        <v>329</v>
      </c>
      <c r="C205" s="146" t="s">
        <v>270</v>
      </c>
      <c r="D205" s="153" t="s">
        <v>319</v>
      </c>
      <c r="E205" s="164" t="s">
        <v>387</v>
      </c>
      <c r="F205" s="52" t="s">
        <v>21</v>
      </c>
      <c r="G205" s="165">
        <v>2</v>
      </c>
      <c r="H205" s="160" t="s">
        <v>151</v>
      </c>
      <c r="I205" s="156"/>
      <c r="J205" s="51"/>
      <c r="K205" s="153"/>
      <c r="L205" s="56"/>
      <c r="M205" s="142" t="s">
        <v>313</v>
      </c>
      <c r="N205" s="142" t="s">
        <v>321</v>
      </c>
      <c r="O205" s="142" t="s">
        <v>291</v>
      </c>
    </row>
    <row r="206" spans="1:15" s="25" customFormat="1" ht="35.1" customHeight="1">
      <c r="A206" s="9" t="str">
        <f t="shared" si="3"/>
        <v>26-53</v>
      </c>
      <c r="B206" s="9" t="s">
        <v>185</v>
      </c>
      <c r="C206" s="146" t="s">
        <v>270</v>
      </c>
      <c r="D206" s="153" t="s">
        <v>388</v>
      </c>
      <c r="E206" s="164" t="s">
        <v>152</v>
      </c>
      <c r="F206" s="52" t="s">
        <v>41</v>
      </c>
      <c r="G206" s="165" t="s">
        <v>389</v>
      </c>
      <c r="H206" s="160" t="s">
        <v>390</v>
      </c>
      <c r="I206" s="156"/>
      <c r="J206" s="51"/>
      <c r="K206" s="153" t="s">
        <v>391</v>
      </c>
      <c r="L206" s="30"/>
      <c r="M206" s="142" t="s">
        <v>285</v>
      </c>
      <c r="N206" s="142" t="s">
        <v>286</v>
      </c>
      <c r="O206" s="142"/>
    </row>
    <row r="207" spans="1:15" s="25" customFormat="1" ht="35.1" customHeight="1">
      <c r="A207" s="9" t="str">
        <f t="shared" si="3"/>
        <v>26-54</v>
      </c>
      <c r="B207" s="9" t="s">
        <v>17</v>
      </c>
      <c r="C207" s="146" t="s">
        <v>270</v>
      </c>
      <c r="D207" s="153" t="s">
        <v>282</v>
      </c>
      <c r="E207" s="164" t="s">
        <v>392</v>
      </c>
      <c r="F207" s="52" t="s">
        <v>21</v>
      </c>
      <c r="G207" s="165">
        <v>1</v>
      </c>
      <c r="H207" s="160" t="s">
        <v>390</v>
      </c>
      <c r="I207" s="156" t="s">
        <v>151</v>
      </c>
      <c r="J207" s="51">
        <v>46195</v>
      </c>
      <c r="K207" s="153" t="s">
        <v>393</v>
      </c>
      <c r="L207" s="56"/>
      <c r="M207" s="142" t="s">
        <v>285</v>
      </c>
      <c r="N207" s="142" t="s">
        <v>286</v>
      </c>
      <c r="O207" s="142"/>
    </row>
    <row r="208" spans="1:15" s="32" customFormat="1" ht="35.1" customHeight="1">
      <c r="A208" s="9" t="str">
        <f t="shared" si="3"/>
        <v>26-55</v>
      </c>
      <c r="B208" s="9" t="s">
        <v>17</v>
      </c>
      <c r="C208" s="146" t="s">
        <v>270</v>
      </c>
      <c r="D208" s="153" t="s">
        <v>282</v>
      </c>
      <c r="E208" s="164" t="s">
        <v>394</v>
      </c>
      <c r="F208" s="52" t="s">
        <v>21</v>
      </c>
      <c r="G208" s="165">
        <v>1</v>
      </c>
      <c r="H208" s="160" t="s">
        <v>390</v>
      </c>
      <c r="I208" s="156" t="s">
        <v>151</v>
      </c>
      <c r="J208" s="51">
        <v>46202</v>
      </c>
      <c r="K208" s="153"/>
      <c r="L208" s="30"/>
      <c r="M208" s="142" t="s">
        <v>285</v>
      </c>
      <c r="N208" s="142" t="s">
        <v>286</v>
      </c>
      <c r="O208" s="142"/>
    </row>
    <row r="209" spans="1:15" s="32" customFormat="1" ht="35.1" customHeight="1">
      <c r="A209" s="9" t="str">
        <f t="shared" si="3"/>
        <v>26-56</v>
      </c>
      <c r="B209" s="9" t="s">
        <v>17</v>
      </c>
      <c r="C209" s="146" t="s">
        <v>270</v>
      </c>
      <c r="D209" s="153" t="s">
        <v>319</v>
      </c>
      <c r="E209" s="164" t="s">
        <v>395</v>
      </c>
      <c r="F209" s="52" t="s">
        <v>21</v>
      </c>
      <c r="G209" s="165">
        <v>1</v>
      </c>
      <c r="H209" s="160" t="s">
        <v>390</v>
      </c>
      <c r="I209" s="156" t="s">
        <v>151</v>
      </c>
      <c r="J209" s="51">
        <v>46184</v>
      </c>
      <c r="K209" s="153" t="s">
        <v>396</v>
      </c>
      <c r="L209" s="56"/>
      <c r="M209" s="142" t="s">
        <v>313</v>
      </c>
      <c r="N209" s="142" t="s">
        <v>321</v>
      </c>
      <c r="O209" s="142" t="s">
        <v>291</v>
      </c>
    </row>
    <row r="210" spans="1:15" s="32" customFormat="1" ht="35.1" customHeight="1">
      <c r="A210" s="9" t="str">
        <f t="shared" si="3"/>
        <v>26-57</v>
      </c>
      <c r="B210" s="9" t="s">
        <v>17</v>
      </c>
      <c r="C210" s="146" t="s">
        <v>270</v>
      </c>
      <c r="D210" s="153" t="s">
        <v>397</v>
      </c>
      <c r="E210" s="164" t="s">
        <v>398</v>
      </c>
      <c r="F210" s="52" t="s">
        <v>21</v>
      </c>
      <c r="G210" s="165">
        <v>12</v>
      </c>
      <c r="H210" s="160" t="s">
        <v>390</v>
      </c>
      <c r="I210" s="156" t="s">
        <v>151</v>
      </c>
      <c r="J210" s="51">
        <v>46262</v>
      </c>
      <c r="K210" s="153"/>
      <c r="L210" s="30"/>
      <c r="M210" s="142" t="s">
        <v>304</v>
      </c>
      <c r="N210" s="144" t="s">
        <v>366</v>
      </c>
      <c r="O210" s="142"/>
    </row>
    <row r="211" spans="1:15" s="32" customFormat="1" ht="35.1" customHeight="1">
      <c r="A211" s="9" t="str">
        <f t="shared" si="3"/>
        <v>26-58</v>
      </c>
      <c r="B211" s="9" t="s">
        <v>86</v>
      </c>
      <c r="C211" s="146" t="s">
        <v>270</v>
      </c>
      <c r="D211" s="153" t="s">
        <v>399</v>
      </c>
      <c r="E211" s="164" t="s">
        <v>400</v>
      </c>
      <c r="F211" s="52" t="s">
        <v>41</v>
      </c>
      <c r="G211" s="165">
        <v>1</v>
      </c>
      <c r="H211" s="160" t="s">
        <v>390</v>
      </c>
      <c r="I211" s="156" t="s">
        <v>151</v>
      </c>
      <c r="J211" s="51">
        <v>46232</v>
      </c>
      <c r="K211" s="153"/>
      <c r="L211" s="56"/>
      <c r="M211" s="142" t="s">
        <v>280</v>
      </c>
      <c r="N211" s="142" t="s">
        <v>286</v>
      </c>
      <c r="O211" s="142"/>
    </row>
    <row r="212" spans="1:15" s="42" customFormat="1" ht="35.1" customHeight="1">
      <c r="A212" s="9" t="str">
        <f t="shared" si="3"/>
        <v>26-59</v>
      </c>
      <c r="B212" s="9" t="s">
        <v>86</v>
      </c>
      <c r="C212" s="146" t="s">
        <v>270</v>
      </c>
      <c r="D212" s="153" t="s">
        <v>319</v>
      </c>
      <c r="E212" s="164" t="s">
        <v>401</v>
      </c>
      <c r="F212" s="52" t="s">
        <v>21</v>
      </c>
      <c r="G212" s="165">
        <v>4</v>
      </c>
      <c r="H212" s="160" t="s">
        <v>390</v>
      </c>
      <c r="I212" s="156" t="s">
        <v>151</v>
      </c>
      <c r="J212" s="51">
        <v>46202</v>
      </c>
      <c r="K212" s="153"/>
      <c r="L212" s="30"/>
      <c r="M212" s="142" t="s">
        <v>313</v>
      </c>
      <c r="N212" s="142" t="s">
        <v>321</v>
      </c>
      <c r="O212" s="142" t="s">
        <v>291</v>
      </c>
    </row>
    <row r="213" spans="1:15" s="54" customFormat="1" ht="35.1" customHeight="1">
      <c r="A213" s="9" t="str">
        <f t="shared" si="3"/>
        <v>26-60</v>
      </c>
      <c r="B213" s="9" t="s">
        <v>329</v>
      </c>
      <c r="C213" s="146" t="s">
        <v>270</v>
      </c>
      <c r="D213" s="153" t="s">
        <v>319</v>
      </c>
      <c r="E213" s="164" t="s">
        <v>402</v>
      </c>
      <c r="F213" s="52" t="s">
        <v>21</v>
      </c>
      <c r="G213" s="165">
        <v>1</v>
      </c>
      <c r="H213" s="160" t="s">
        <v>390</v>
      </c>
      <c r="I213" s="156"/>
      <c r="J213" s="51"/>
      <c r="K213" s="153"/>
      <c r="L213" s="56"/>
      <c r="M213" s="142" t="s">
        <v>313</v>
      </c>
      <c r="N213" s="142" t="s">
        <v>403</v>
      </c>
      <c r="O213" s="142" t="s">
        <v>378</v>
      </c>
    </row>
    <row r="214" spans="1:15" s="40" customFormat="1" ht="35.1" customHeight="1">
      <c r="A214" s="9" t="str">
        <f t="shared" si="3"/>
        <v>26-61</v>
      </c>
      <c r="B214" s="9" t="s">
        <v>329</v>
      </c>
      <c r="C214" s="146" t="s">
        <v>270</v>
      </c>
      <c r="D214" s="46" t="s">
        <v>319</v>
      </c>
      <c r="E214" s="147" t="s">
        <v>404</v>
      </c>
      <c r="F214" s="48" t="s">
        <v>21</v>
      </c>
      <c r="G214" s="49">
        <v>1</v>
      </c>
      <c r="H214" s="160" t="s">
        <v>390</v>
      </c>
      <c r="I214" s="148"/>
      <c r="J214" s="51"/>
      <c r="K214" s="48"/>
      <c r="L214" s="56"/>
      <c r="M214" s="142" t="s">
        <v>313</v>
      </c>
      <c r="N214" s="142" t="s">
        <v>321</v>
      </c>
      <c r="O214" s="142" t="s">
        <v>291</v>
      </c>
    </row>
    <row r="215" spans="1:15" s="42" customFormat="1" ht="35.1" customHeight="1">
      <c r="A215" s="9" t="str">
        <f t="shared" si="3"/>
        <v>26-62</v>
      </c>
      <c r="B215" s="9" t="s">
        <v>17</v>
      </c>
      <c r="C215" s="146" t="s">
        <v>270</v>
      </c>
      <c r="D215" s="46" t="s">
        <v>282</v>
      </c>
      <c r="E215" s="147" t="s">
        <v>168</v>
      </c>
      <c r="F215" s="48" t="s">
        <v>21</v>
      </c>
      <c r="G215" s="49">
        <v>1</v>
      </c>
      <c r="H215" s="160" t="s">
        <v>390</v>
      </c>
      <c r="I215" s="156" t="s">
        <v>151</v>
      </c>
      <c r="J215" s="51">
        <v>46195</v>
      </c>
      <c r="K215" s="48"/>
      <c r="L215" s="30"/>
      <c r="M215" s="142" t="s">
        <v>285</v>
      </c>
      <c r="N215" s="142" t="s">
        <v>405</v>
      </c>
      <c r="O215" s="142"/>
    </row>
    <row r="216" spans="1:15" s="32" customFormat="1" ht="35.1" customHeight="1">
      <c r="A216" s="9" t="str">
        <f t="shared" si="3"/>
        <v>26-63</v>
      </c>
      <c r="B216" s="9" t="s">
        <v>329</v>
      </c>
      <c r="C216" s="146" t="s">
        <v>270</v>
      </c>
      <c r="D216" s="46" t="s">
        <v>406</v>
      </c>
      <c r="E216" s="147" t="s">
        <v>407</v>
      </c>
      <c r="F216" s="48" t="s">
        <v>33</v>
      </c>
      <c r="G216" s="49">
        <v>1</v>
      </c>
      <c r="H216" s="100">
        <v>28801000</v>
      </c>
      <c r="I216" s="148"/>
      <c r="J216" s="51"/>
      <c r="K216" s="48"/>
      <c r="L216" s="20"/>
      <c r="M216" s="142" t="s">
        <v>341</v>
      </c>
      <c r="N216" s="142" t="s">
        <v>408</v>
      </c>
      <c r="O216" s="142"/>
    </row>
    <row r="217" spans="1:15" s="54" customFormat="1" ht="35.1" customHeight="1">
      <c r="A217" s="9" t="str">
        <f t="shared" si="3"/>
        <v>26-64</v>
      </c>
      <c r="B217" s="9" t="s">
        <v>17</v>
      </c>
      <c r="C217" s="146" t="s">
        <v>409</v>
      </c>
      <c r="D217" s="46" t="s">
        <v>410</v>
      </c>
      <c r="E217" s="147" t="s">
        <v>411</v>
      </c>
      <c r="F217" s="48" t="s">
        <v>33</v>
      </c>
      <c r="G217" s="49">
        <v>1</v>
      </c>
      <c r="H217" s="100">
        <v>8000000</v>
      </c>
      <c r="I217" s="148">
        <v>8000000</v>
      </c>
      <c r="J217" s="51">
        <v>46202</v>
      </c>
      <c r="K217" s="48"/>
      <c r="L217" s="30"/>
      <c r="M217" s="142" t="s">
        <v>280</v>
      </c>
      <c r="N217" s="142" t="s">
        <v>318</v>
      </c>
      <c r="O217" s="142"/>
    </row>
    <row r="218" spans="1:15" s="25" customFormat="1" ht="35.1" customHeight="1">
      <c r="A218" s="9" t="str">
        <f t="shared" si="3"/>
        <v>26-65</v>
      </c>
      <c r="B218" s="9" t="s">
        <v>185</v>
      </c>
      <c r="C218" s="146" t="s">
        <v>270</v>
      </c>
      <c r="D218" s="46" t="s">
        <v>412</v>
      </c>
      <c r="E218" s="147" t="s">
        <v>413</v>
      </c>
      <c r="F218" s="48" t="s">
        <v>33</v>
      </c>
      <c r="G218" s="49">
        <v>1</v>
      </c>
      <c r="H218" s="100">
        <v>33000000</v>
      </c>
      <c r="I218" s="148"/>
      <c r="J218" s="51"/>
      <c r="K218" s="48"/>
      <c r="L218" s="20"/>
      <c r="M218" s="142" t="s">
        <v>280</v>
      </c>
      <c r="N218" s="142" t="s">
        <v>291</v>
      </c>
      <c r="O218" s="142"/>
    </row>
    <row r="219" spans="1:15" s="25" customFormat="1" ht="35.1" customHeight="1">
      <c r="A219" s="9" t="str">
        <f t="shared" ref="A219:A274" si="4">CONCATENATE("26-",ROW()-ROW($A$153))</f>
        <v>26-66</v>
      </c>
      <c r="B219" s="9" t="s">
        <v>329</v>
      </c>
      <c r="C219" s="146" t="s">
        <v>270</v>
      </c>
      <c r="D219" s="46" t="s">
        <v>319</v>
      </c>
      <c r="E219" s="147" t="s">
        <v>414</v>
      </c>
      <c r="F219" s="52" t="s">
        <v>41</v>
      </c>
      <c r="G219" s="166">
        <v>1</v>
      </c>
      <c r="H219" s="100">
        <v>58000000</v>
      </c>
      <c r="I219" s="167"/>
      <c r="J219" s="51"/>
      <c r="K219" s="52"/>
      <c r="L219" s="74"/>
      <c r="M219" s="142" t="s">
        <v>313</v>
      </c>
      <c r="N219" s="142" t="s">
        <v>415</v>
      </c>
      <c r="O219" s="142"/>
    </row>
    <row r="220" spans="1:15" s="32" customFormat="1" ht="35.1" customHeight="1">
      <c r="A220" s="9" t="str">
        <f t="shared" si="4"/>
        <v>26-67</v>
      </c>
      <c r="B220" s="9" t="s">
        <v>17</v>
      </c>
      <c r="C220" s="146" t="s">
        <v>270</v>
      </c>
      <c r="D220" s="46" t="s">
        <v>344</v>
      </c>
      <c r="E220" s="147" t="s">
        <v>416</v>
      </c>
      <c r="F220" s="52" t="s">
        <v>33</v>
      </c>
      <c r="G220" s="166">
        <v>1</v>
      </c>
      <c r="H220" s="100">
        <v>48000000</v>
      </c>
      <c r="I220" s="167">
        <v>48000000</v>
      </c>
      <c r="J220" s="51">
        <v>46171</v>
      </c>
      <c r="K220" s="168"/>
      <c r="L220" s="74"/>
      <c r="M220" s="142" t="s">
        <v>309</v>
      </c>
      <c r="N220" s="144" t="s">
        <v>328</v>
      </c>
      <c r="O220" s="142"/>
    </row>
    <row r="221" spans="1:15" s="54" customFormat="1" ht="35.1" customHeight="1">
      <c r="A221" s="9" t="str">
        <f t="shared" si="4"/>
        <v>26-68</v>
      </c>
      <c r="B221" s="9" t="s">
        <v>329</v>
      </c>
      <c r="C221" s="146" t="s">
        <v>270</v>
      </c>
      <c r="D221" s="46" t="s">
        <v>417</v>
      </c>
      <c r="E221" s="147" t="s">
        <v>418</v>
      </c>
      <c r="F221" s="52" t="s">
        <v>21</v>
      </c>
      <c r="G221" s="166">
        <v>1</v>
      </c>
      <c r="H221" s="100">
        <v>5500000</v>
      </c>
      <c r="I221" s="167"/>
      <c r="J221" s="51"/>
      <c r="K221" s="168"/>
      <c r="L221" s="169" t="s">
        <v>419</v>
      </c>
      <c r="M221" s="142" t="s">
        <v>341</v>
      </c>
      <c r="N221" s="142" t="s">
        <v>403</v>
      </c>
      <c r="O221" s="142"/>
    </row>
    <row r="222" spans="1:15" s="54" customFormat="1" ht="35.1" customHeight="1">
      <c r="A222" s="9" t="str">
        <f t="shared" si="4"/>
        <v>26-69</v>
      </c>
      <c r="B222" s="9" t="s">
        <v>17</v>
      </c>
      <c r="C222" s="146" t="s">
        <v>270</v>
      </c>
      <c r="D222" s="46" t="s">
        <v>379</v>
      </c>
      <c r="E222" s="147" t="s">
        <v>299</v>
      </c>
      <c r="F222" s="52" t="s">
        <v>21</v>
      </c>
      <c r="G222" s="166">
        <v>17</v>
      </c>
      <c r="H222" s="100">
        <v>140000000</v>
      </c>
      <c r="I222" s="167">
        <v>137800000</v>
      </c>
      <c r="J222" s="51">
        <v>46162</v>
      </c>
      <c r="K222" s="168"/>
      <c r="L222" s="74" t="s">
        <v>420</v>
      </c>
      <c r="M222" s="142" t="s">
        <v>275</v>
      </c>
      <c r="N222" s="143" t="s">
        <v>385</v>
      </c>
      <c r="O222" s="142" t="s">
        <v>17</v>
      </c>
    </row>
    <row r="223" spans="1:15" s="19" customFormat="1" ht="35.1" customHeight="1">
      <c r="A223" s="9" t="str">
        <f t="shared" si="4"/>
        <v>26-70</v>
      </c>
      <c r="B223" s="9" t="s">
        <v>17</v>
      </c>
      <c r="C223" s="146" t="s">
        <v>270</v>
      </c>
      <c r="D223" s="46" t="s">
        <v>421</v>
      </c>
      <c r="E223" s="147" t="s">
        <v>422</v>
      </c>
      <c r="F223" s="52" t="s">
        <v>41</v>
      </c>
      <c r="G223" s="166">
        <v>1</v>
      </c>
      <c r="H223" s="100">
        <v>25180000</v>
      </c>
      <c r="I223" s="167">
        <v>25180129</v>
      </c>
      <c r="J223" s="51">
        <v>46218</v>
      </c>
      <c r="K223" s="168"/>
      <c r="L223" s="74"/>
      <c r="M223" s="142" t="s">
        <v>280</v>
      </c>
      <c r="N223" s="142" t="s">
        <v>423</v>
      </c>
      <c r="O223" s="142"/>
    </row>
    <row r="224" spans="1:15" s="19" customFormat="1" ht="35.1" customHeight="1">
      <c r="A224" s="9" t="str">
        <f t="shared" si="4"/>
        <v>26-71</v>
      </c>
      <c r="B224" s="9" t="s">
        <v>17</v>
      </c>
      <c r="C224" s="146" t="s">
        <v>270</v>
      </c>
      <c r="D224" s="46" t="s">
        <v>424</v>
      </c>
      <c r="E224" s="147" t="s">
        <v>425</v>
      </c>
      <c r="F224" s="52" t="s">
        <v>21</v>
      </c>
      <c r="G224" s="166">
        <v>1</v>
      </c>
      <c r="H224" s="100">
        <v>95000000</v>
      </c>
      <c r="I224" s="167">
        <v>83000000</v>
      </c>
      <c r="J224" s="51">
        <v>46223</v>
      </c>
      <c r="K224" s="168"/>
      <c r="L224" s="74" t="s">
        <v>426</v>
      </c>
      <c r="M224" s="142" t="s">
        <v>341</v>
      </c>
      <c r="N224" s="144" t="s">
        <v>294</v>
      </c>
      <c r="O224" s="142"/>
    </row>
    <row r="225" spans="1:15" s="32" customFormat="1" ht="35.1" customHeight="1">
      <c r="A225" s="9" t="str">
        <f t="shared" si="4"/>
        <v>26-72</v>
      </c>
      <c r="B225" s="9" t="s">
        <v>86</v>
      </c>
      <c r="C225" s="146" t="s">
        <v>270</v>
      </c>
      <c r="D225" s="46" t="s">
        <v>282</v>
      </c>
      <c r="E225" s="147" t="s">
        <v>427</v>
      </c>
      <c r="F225" s="52" t="s">
        <v>38</v>
      </c>
      <c r="G225" s="166">
        <v>2</v>
      </c>
      <c r="H225" s="100">
        <v>29480000</v>
      </c>
      <c r="I225" s="167">
        <v>29480000</v>
      </c>
      <c r="J225" s="51">
        <v>46252</v>
      </c>
      <c r="K225" s="168"/>
      <c r="L225" s="74" t="s">
        <v>428</v>
      </c>
      <c r="M225" s="142" t="s">
        <v>309</v>
      </c>
      <c r="N225" s="144" t="s">
        <v>429</v>
      </c>
      <c r="O225" s="142"/>
    </row>
    <row r="226" spans="1:15" s="32" customFormat="1" ht="35.1" customHeight="1">
      <c r="A226" s="9" t="str">
        <f t="shared" si="4"/>
        <v>26-73</v>
      </c>
      <c r="B226" s="9" t="s">
        <v>239</v>
      </c>
      <c r="C226" s="170" t="s">
        <v>270</v>
      </c>
      <c r="D226" s="120" t="s">
        <v>430</v>
      </c>
      <c r="E226" s="140" t="s">
        <v>431</v>
      </c>
      <c r="F226" s="171" t="s">
        <v>33</v>
      </c>
      <c r="G226" s="172">
        <v>1</v>
      </c>
      <c r="H226" s="173">
        <v>220000000</v>
      </c>
      <c r="I226" s="174"/>
      <c r="J226" s="175"/>
      <c r="K226" s="176" t="s">
        <v>432</v>
      </c>
      <c r="L226" s="177" t="s">
        <v>433</v>
      </c>
      <c r="M226" s="178" t="s">
        <v>309</v>
      </c>
      <c r="N226" s="178" t="s">
        <v>434</v>
      </c>
      <c r="O226" s="178"/>
    </row>
    <row r="227" spans="1:15" s="54" customFormat="1" ht="35.1" customHeight="1">
      <c r="A227" s="9" t="str">
        <f t="shared" si="4"/>
        <v>26-74</v>
      </c>
      <c r="B227" s="9" t="s">
        <v>185</v>
      </c>
      <c r="C227" s="146" t="s">
        <v>270</v>
      </c>
      <c r="D227" s="46" t="s">
        <v>417</v>
      </c>
      <c r="E227" s="147" t="s">
        <v>435</v>
      </c>
      <c r="F227" s="52" t="s">
        <v>21</v>
      </c>
      <c r="G227" s="166">
        <v>1</v>
      </c>
      <c r="H227" s="100">
        <v>195000000</v>
      </c>
      <c r="I227" s="167"/>
      <c r="J227" s="51"/>
      <c r="K227" s="168"/>
      <c r="L227" s="44" t="s">
        <v>436</v>
      </c>
      <c r="M227" s="142" t="s">
        <v>341</v>
      </c>
      <c r="N227" s="142" t="s">
        <v>408</v>
      </c>
      <c r="O227" s="142"/>
    </row>
    <row r="228" spans="1:15" s="54" customFormat="1" ht="35.1" customHeight="1">
      <c r="A228" s="9" t="str">
        <f t="shared" si="4"/>
        <v>26-75</v>
      </c>
      <c r="B228" s="9" t="s">
        <v>329</v>
      </c>
      <c r="C228" s="146" t="s">
        <v>270</v>
      </c>
      <c r="D228" s="46" t="s">
        <v>417</v>
      </c>
      <c r="E228" s="147" t="s">
        <v>437</v>
      </c>
      <c r="F228" s="48" t="s">
        <v>33</v>
      </c>
      <c r="G228" s="49">
        <v>1</v>
      </c>
      <c r="H228" s="100">
        <v>80000000</v>
      </c>
      <c r="I228" s="167"/>
      <c r="J228" s="51"/>
      <c r="K228" s="52"/>
      <c r="L228" s="44" t="s">
        <v>436</v>
      </c>
      <c r="M228" s="142" t="s">
        <v>341</v>
      </c>
      <c r="N228" s="142" t="s">
        <v>403</v>
      </c>
      <c r="O228" s="142"/>
    </row>
    <row r="229" spans="1:15" ht="35.1" customHeight="1">
      <c r="A229" s="9" t="str">
        <f t="shared" si="4"/>
        <v>26-76</v>
      </c>
      <c r="B229" s="9" t="s">
        <v>86</v>
      </c>
      <c r="C229" s="146" t="s">
        <v>270</v>
      </c>
      <c r="D229" s="179" t="s">
        <v>271</v>
      </c>
      <c r="E229" s="180" t="s">
        <v>438</v>
      </c>
      <c r="F229" s="99" t="s">
        <v>21</v>
      </c>
      <c r="G229" s="99">
        <v>1</v>
      </c>
      <c r="H229" s="100">
        <v>370000000</v>
      </c>
      <c r="I229" s="100">
        <v>317000000</v>
      </c>
      <c r="J229" s="95">
        <v>46225</v>
      </c>
      <c r="K229" s="153"/>
      <c r="L229" s="44" t="s">
        <v>436</v>
      </c>
      <c r="M229" s="142" t="s">
        <v>275</v>
      </c>
      <c r="N229" s="143" t="s">
        <v>276</v>
      </c>
      <c r="O229" s="142"/>
    </row>
    <row r="230" spans="1:15" ht="35.1" customHeight="1">
      <c r="A230" s="9" t="str">
        <f t="shared" si="4"/>
        <v>26-77</v>
      </c>
      <c r="B230" s="9" t="s">
        <v>17</v>
      </c>
      <c r="C230" s="146" t="s">
        <v>270</v>
      </c>
      <c r="D230" s="179" t="s">
        <v>439</v>
      </c>
      <c r="E230" s="180" t="s">
        <v>438</v>
      </c>
      <c r="F230" s="99" t="s">
        <v>21</v>
      </c>
      <c r="G230" s="99">
        <v>1</v>
      </c>
      <c r="H230" s="100">
        <v>138000000</v>
      </c>
      <c r="I230" s="100">
        <v>129000000</v>
      </c>
      <c r="J230" s="95">
        <v>46259</v>
      </c>
      <c r="K230" s="153"/>
      <c r="L230" s="44" t="s">
        <v>436</v>
      </c>
      <c r="M230" s="142" t="s">
        <v>275</v>
      </c>
      <c r="N230" s="144" t="s">
        <v>281</v>
      </c>
      <c r="O230" s="142"/>
    </row>
    <row r="231" spans="1:15" ht="35.1" customHeight="1">
      <c r="A231" s="9" t="str">
        <f t="shared" si="4"/>
        <v>26-78</v>
      </c>
      <c r="B231" s="9" t="s">
        <v>329</v>
      </c>
      <c r="C231" s="146" t="s">
        <v>270</v>
      </c>
      <c r="D231" s="179" t="s">
        <v>440</v>
      </c>
      <c r="E231" s="180" t="s">
        <v>441</v>
      </c>
      <c r="F231" s="99" t="s">
        <v>442</v>
      </c>
      <c r="G231" s="99">
        <v>1</v>
      </c>
      <c r="H231" s="100">
        <v>7700000</v>
      </c>
      <c r="I231" s="100"/>
      <c r="J231" s="95"/>
      <c r="K231" s="153"/>
      <c r="L231" s="44" t="s">
        <v>436</v>
      </c>
      <c r="M231" s="142" t="s">
        <v>280</v>
      </c>
      <c r="N231" s="181"/>
      <c r="O231" s="142"/>
    </row>
    <row r="232" spans="1:15" ht="35.1" customHeight="1">
      <c r="A232" s="9" t="str">
        <f t="shared" si="4"/>
        <v>26-79</v>
      </c>
      <c r="B232" s="9" t="s">
        <v>329</v>
      </c>
      <c r="C232" s="146" t="s">
        <v>270</v>
      </c>
      <c r="D232" s="179" t="s">
        <v>90</v>
      </c>
      <c r="E232" s="182" t="s">
        <v>46</v>
      </c>
      <c r="F232" s="99" t="s">
        <v>442</v>
      </c>
      <c r="G232" s="99">
        <v>2</v>
      </c>
      <c r="H232" s="100">
        <v>5280000</v>
      </c>
      <c r="I232" s="100"/>
      <c r="J232" s="95"/>
      <c r="K232" s="153"/>
      <c r="L232" s="44" t="s">
        <v>436</v>
      </c>
      <c r="M232" s="142" t="s">
        <v>304</v>
      </c>
      <c r="N232" s="181"/>
      <c r="O232" s="142"/>
    </row>
    <row r="233" spans="1:15" ht="35.1" customHeight="1">
      <c r="A233" s="9" t="str">
        <f t="shared" si="4"/>
        <v>26-80</v>
      </c>
      <c r="B233" s="9" t="s">
        <v>329</v>
      </c>
      <c r="C233" s="146" t="s">
        <v>270</v>
      </c>
      <c r="D233" s="179" t="s">
        <v>90</v>
      </c>
      <c r="E233" s="180" t="s">
        <v>443</v>
      </c>
      <c r="F233" s="99" t="s">
        <v>198</v>
      </c>
      <c r="G233" s="99">
        <v>1</v>
      </c>
      <c r="H233" s="100">
        <v>5800000</v>
      </c>
      <c r="I233" s="100"/>
      <c r="J233" s="95"/>
      <c r="K233" s="153"/>
      <c r="L233" s="44" t="s">
        <v>436</v>
      </c>
      <c r="M233" s="142" t="s">
        <v>304</v>
      </c>
      <c r="N233" s="181"/>
      <c r="O233" s="142"/>
    </row>
    <row r="234" spans="1:15" ht="35.1" customHeight="1">
      <c r="A234" s="9" t="str">
        <f t="shared" si="4"/>
        <v>26-81</v>
      </c>
      <c r="B234" s="9" t="s">
        <v>329</v>
      </c>
      <c r="C234" s="146" t="s">
        <v>270</v>
      </c>
      <c r="D234" s="179" t="s">
        <v>220</v>
      </c>
      <c r="E234" s="180" t="s">
        <v>444</v>
      </c>
      <c r="F234" s="99" t="s">
        <v>198</v>
      </c>
      <c r="G234" s="99">
        <v>1</v>
      </c>
      <c r="H234" s="100">
        <v>8000000</v>
      </c>
      <c r="I234" s="100"/>
      <c r="J234" s="95"/>
      <c r="K234" s="153"/>
      <c r="L234" s="44" t="s">
        <v>436</v>
      </c>
      <c r="M234" s="142" t="s">
        <v>341</v>
      </c>
      <c r="N234" s="181"/>
      <c r="O234" s="142"/>
    </row>
    <row r="235" spans="1:15" ht="35.1" customHeight="1">
      <c r="A235" s="9" t="str">
        <f t="shared" si="4"/>
        <v>26-82</v>
      </c>
      <c r="B235" s="9" t="s">
        <v>86</v>
      </c>
      <c r="C235" s="146" t="s">
        <v>445</v>
      </c>
      <c r="D235" s="179" t="s">
        <v>292</v>
      </c>
      <c r="E235" s="180" t="s">
        <v>446</v>
      </c>
      <c r="F235" s="99"/>
      <c r="G235" s="99">
        <v>1</v>
      </c>
      <c r="H235" s="100">
        <v>34100000</v>
      </c>
      <c r="I235" s="183">
        <v>33000000</v>
      </c>
      <c r="J235" s="95">
        <v>46295</v>
      </c>
      <c r="K235" s="153"/>
      <c r="L235" s="145" t="s">
        <v>447</v>
      </c>
      <c r="M235" s="142" t="s">
        <v>285</v>
      </c>
      <c r="N235" s="142"/>
      <c r="O235" s="142"/>
    </row>
    <row r="236" spans="1:15" ht="35.1" customHeight="1">
      <c r="A236" s="9" t="str">
        <f t="shared" si="4"/>
        <v>26-83</v>
      </c>
      <c r="B236" s="9" t="s">
        <v>86</v>
      </c>
      <c r="C236" s="146" t="s">
        <v>445</v>
      </c>
      <c r="D236" s="179" t="s">
        <v>292</v>
      </c>
      <c r="E236" s="180" t="s">
        <v>448</v>
      </c>
      <c r="F236" s="99"/>
      <c r="G236" s="99">
        <v>1</v>
      </c>
      <c r="H236" s="100">
        <v>9900000</v>
      </c>
      <c r="I236" s="183">
        <v>8800000</v>
      </c>
      <c r="J236" s="95">
        <v>46295</v>
      </c>
      <c r="K236" s="153"/>
      <c r="L236" s="145" t="s">
        <v>447</v>
      </c>
      <c r="M236" s="142" t="s">
        <v>285</v>
      </c>
      <c r="N236" s="142"/>
      <c r="O236" s="142"/>
    </row>
    <row r="237" spans="1:15" ht="35.1" customHeight="1">
      <c r="A237" s="9" t="str">
        <f t="shared" si="4"/>
        <v>26-84</v>
      </c>
      <c r="B237" s="9" t="s">
        <v>86</v>
      </c>
      <c r="C237" s="146" t="s">
        <v>445</v>
      </c>
      <c r="D237" s="179" t="s">
        <v>292</v>
      </c>
      <c r="E237" s="180" t="s">
        <v>449</v>
      </c>
      <c r="F237" s="99"/>
      <c r="G237" s="99">
        <v>1</v>
      </c>
      <c r="H237" s="100">
        <v>30000000</v>
      </c>
      <c r="I237" s="183">
        <v>30000000</v>
      </c>
      <c r="J237" s="95">
        <v>46295</v>
      </c>
      <c r="K237" s="153"/>
      <c r="L237" s="145" t="s">
        <v>447</v>
      </c>
      <c r="M237" s="142" t="s">
        <v>285</v>
      </c>
      <c r="N237" s="142"/>
      <c r="O237" s="142"/>
    </row>
    <row r="238" spans="1:15" s="54" customFormat="1" ht="35.1" customHeight="1">
      <c r="A238" s="9" t="str">
        <f t="shared" si="4"/>
        <v>26-85</v>
      </c>
      <c r="B238" s="9" t="s">
        <v>86</v>
      </c>
      <c r="C238" s="146" t="s">
        <v>445</v>
      </c>
      <c r="D238" s="153" t="s">
        <v>292</v>
      </c>
      <c r="E238" s="164" t="s">
        <v>450</v>
      </c>
      <c r="F238" s="184"/>
      <c r="G238" s="165">
        <v>1</v>
      </c>
      <c r="H238" s="100">
        <v>3100000</v>
      </c>
      <c r="I238" s="183">
        <v>2900000</v>
      </c>
      <c r="J238" s="95">
        <v>46295</v>
      </c>
      <c r="K238" s="153"/>
      <c r="L238" s="145" t="s">
        <v>447</v>
      </c>
      <c r="M238" s="142" t="s">
        <v>285</v>
      </c>
      <c r="N238" s="142"/>
      <c r="O238" s="142"/>
    </row>
    <row r="239" spans="1:15" s="54" customFormat="1" ht="35.1" customHeight="1">
      <c r="A239" s="9" t="str">
        <f t="shared" si="4"/>
        <v>26-86</v>
      </c>
      <c r="B239" s="9" t="s">
        <v>86</v>
      </c>
      <c r="C239" s="146" t="s">
        <v>445</v>
      </c>
      <c r="D239" s="153" t="s">
        <v>292</v>
      </c>
      <c r="E239" s="147" t="s">
        <v>451</v>
      </c>
      <c r="F239" s="184"/>
      <c r="G239" s="166">
        <v>1</v>
      </c>
      <c r="H239" s="100">
        <v>9500000</v>
      </c>
      <c r="I239" s="183">
        <v>9500000</v>
      </c>
      <c r="J239" s="95">
        <v>46295</v>
      </c>
      <c r="K239" s="153"/>
      <c r="L239" s="145" t="s">
        <v>447</v>
      </c>
      <c r="M239" s="142" t="s">
        <v>285</v>
      </c>
      <c r="N239" s="142"/>
      <c r="O239" s="142"/>
    </row>
    <row r="240" spans="1:15" s="54" customFormat="1" ht="35.1" customHeight="1">
      <c r="A240" s="9" t="str">
        <f t="shared" si="4"/>
        <v>26-87</v>
      </c>
      <c r="B240" s="9" t="s">
        <v>86</v>
      </c>
      <c r="C240" s="146" t="s">
        <v>445</v>
      </c>
      <c r="D240" s="153" t="s">
        <v>292</v>
      </c>
      <c r="E240" s="185" t="s">
        <v>452</v>
      </c>
      <c r="F240" s="184"/>
      <c r="G240" s="165">
        <v>1</v>
      </c>
      <c r="H240" s="100">
        <v>3300000</v>
      </c>
      <c r="I240" s="183">
        <v>3300000</v>
      </c>
      <c r="J240" s="95">
        <v>46295</v>
      </c>
      <c r="K240" s="153"/>
      <c r="L240" s="145" t="s">
        <v>447</v>
      </c>
      <c r="M240" s="142" t="s">
        <v>285</v>
      </c>
      <c r="N240" s="142"/>
      <c r="O240" s="142"/>
    </row>
    <row r="241" spans="1:15" s="54" customFormat="1" ht="35.1" customHeight="1">
      <c r="A241" s="9" t="str">
        <f t="shared" si="4"/>
        <v>26-88</v>
      </c>
      <c r="B241" s="9" t="s">
        <v>86</v>
      </c>
      <c r="C241" s="146" t="s">
        <v>445</v>
      </c>
      <c r="D241" s="153" t="s">
        <v>287</v>
      </c>
      <c r="E241" s="164" t="s">
        <v>453</v>
      </c>
      <c r="F241" s="184"/>
      <c r="G241" s="165">
        <v>1</v>
      </c>
      <c r="H241" s="100">
        <v>38000000</v>
      </c>
      <c r="I241" s="183">
        <v>38000000</v>
      </c>
      <c r="J241" s="95">
        <v>46295</v>
      </c>
      <c r="K241" s="153"/>
      <c r="L241" s="145" t="s">
        <v>447</v>
      </c>
      <c r="M241" s="142" t="s">
        <v>275</v>
      </c>
      <c r="N241" s="142"/>
      <c r="O241" s="142"/>
    </row>
    <row r="242" spans="1:15" s="32" customFormat="1" ht="35.1" customHeight="1">
      <c r="A242" s="9" t="str">
        <f t="shared" si="4"/>
        <v>26-89</v>
      </c>
      <c r="B242" s="9" t="s">
        <v>86</v>
      </c>
      <c r="C242" s="146" t="s">
        <v>445</v>
      </c>
      <c r="D242" s="153" t="s">
        <v>287</v>
      </c>
      <c r="E242" s="164" t="s">
        <v>140</v>
      </c>
      <c r="F242" s="184"/>
      <c r="G242" s="165">
        <v>1</v>
      </c>
      <c r="H242" s="100">
        <v>105000000</v>
      </c>
      <c r="I242" s="183">
        <v>101000000</v>
      </c>
      <c r="J242" s="95">
        <v>46295</v>
      </c>
      <c r="K242" s="153"/>
      <c r="L242" s="145" t="s">
        <v>447</v>
      </c>
      <c r="M242" s="142" t="s">
        <v>275</v>
      </c>
      <c r="N242" s="142"/>
      <c r="O242" s="142"/>
    </row>
    <row r="243" spans="1:15" s="54" customFormat="1" ht="35.1" customHeight="1">
      <c r="A243" s="9" t="str">
        <f t="shared" si="4"/>
        <v>26-90</v>
      </c>
      <c r="B243" s="9" t="s">
        <v>17</v>
      </c>
      <c r="C243" s="146" t="s">
        <v>454</v>
      </c>
      <c r="D243" s="153" t="s">
        <v>121</v>
      </c>
      <c r="E243" s="164" t="s">
        <v>455</v>
      </c>
      <c r="F243" s="184"/>
      <c r="G243" s="165">
        <v>1</v>
      </c>
      <c r="H243" s="100">
        <v>6000000</v>
      </c>
      <c r="I243" s="183">
        <v>6000000</v>
      </c>
      <c r="J243" s="95">
        <v>46164</v>
      </c>
      <c r="K243" s="153"/>
      <c r="L243" s="145"/>
      <c r="M243" s="142" t="s">
        <v>309</v>
      </c>
      <c r="N243" s="142"/>
      <c r="O243" s="142"/>
    </row>
    <row r="244" spans="1:15" s="32" customFormat="1" ht="35.1" customHeight="1">
      <c r="A244" s="9" t="str">
        <f t="shared" si="4"/>
        <v>26-91</v>
      </c>
      <c r="B244" s="9" t="s">
        <v>17</v>
      </c>
      <c r="C244" s="146" t="s">
        <v>454</v>
      </c>
      <c r="D244" s="153" t="s">
        <v>121</v>
      </c>
      <c r="E244" s="164" t="s">
        <v>455</v>
      </c>
      <c r="F244" s="184"/>
      <c r="G244" s="165">
        <v>1</v>
      </c>
      <c r="H244" s="100">
        <v>8500000</v>
      </c>
      <c r="I244" s="186">
        <v>8500000</v>
      </c>
      <c r="J244" s="95">
        <v>46164</v>
      </c>
      <c r="K244" s="153"/>
      <c r="L244" s="145"/>
      <c r="M244" s="142" t="s">
        <v>309</v>
      </c>
      <c r="N244" s="142"/>
      <c r="O244" s="142"/>
    </row>
    <row r="245" spans="1:15" s="32" customFormat="1" ht="35.1" customHeight="1">
      <c r="A245" s="9" t="str">
        <f t="shared" si="4"/>
        <v>26-92</v>
      </c>
      <c r="B245" s="9" t="s">
        <v>17</v>
      </c>
      <c r="C245" s="146" t="s">
        <v>454</v>
      </c>
      <c r="D245" s="153" t="s">
        <v>456</v>
      </c>
      <c r="E245" s="164" t="s">
        <v>457</v>
      </c>
      <c r="F245" s="184"/>
      <c r="G245" s="165">
        <v>1</v>
      </c>
      <c r="H245" s="100">
        <v>20000000</v>
      </c>
      <c r="I245" s="187" t="s">
        <v>458</v>
      </c>
      <c r="J245" s="95">
        <v>46266</v>
      </c>
      <c r="K245" s="153"/>
      <c r="L245" s="145"/>
      <c r="M245" s="142" t="s">
        <v>309</v>
      </c>
      <c r="N245" s="142"/>
      <c r="O245" s="142"/>
    </row>
    <row r="246" spans="1:15" s="54" customFormat="1" ht="35.1" customHeight="1">
      <c r="A246" s="9" t="str">
        <f t="shared" si="4"/>
        <v>26-93</v>
      </c>
      <c r="B246" s="9" t="s">
        <v>17</v>
      </c>
      <c r="C246" s="146" t="s">
        <v>445</v>
      </c>
      <c r="D246" s="46" t="s">
        <v>36</v>
      </c>
      <c r="E246" s="147" t="s">
        <v>411</v>
      </c>
      <c r="F246" s="48" t="s">
        <v>33</v>
      </c>
      <c r="G246" s="49">
        <v>1</v>
      </c>
      <c r="H246" s="100">
        <v>8000000</v>
      </c>
      <c r="I246" s="148">
        <v>8000000</v>
      </c>
      <c r="J246" s="51">
        <v>46202</v>
      </c>
      <c r="K246" s="48"/>
      <c r="L246" s="145" t="s">
        <v>459</v>
      </c>
      <c r="M246" s="142" t="s">
        <v>280</v>
      </c>
      <c r="N246" s="142"/>
      <c r="O246" s="142"/>
    </row>
    <row r="247" spans="1:15" s="54" customFormat="1" ht="35.1" customHeight="1">
      <c r="A247" s="9" t="str">
        <f t="shared" si="4"/>
        <v>26-94</v>
      </c>
      <c r="B247" s="9" t="s">
        <v>17</v>
      </c>
      <c r="C247" s="146" t="s">
        <v>445</v>
      </c>
      <c r="D247" s="46" t="s">
        <v>460</v>
      </c>
      <c r="E247" s="147" t="s">
        <v>461</v>
      </c>
      <c r="F247" s="48" t="s">
        <v>199</v>
      </c>
      <c r="G247" s="49">
        <v>1</v>
      </c>
      <c r="H247" s="100">
        <v>50000000</v>
      </c>
      <c r="I247" s="148">
        <v>47000000</v>
      </c>
      <c r="J247" s="51">
        <v>46202</v>
      </c>
      <c r="K247" s="48"/>
      <c r="L247" s="145" t="s">
        <v>459</v>
      </c>
      <c r="M247" s="142" t="s">
        <v>280</v>
      </c>
      <c r="N247" s="142"/>
      <c r="O247" s="142"/>
    </row>
    <row r="248" spans="1:15" s="54" customFormat="1" ht="35.1" customHeight="1">
      <c r="A248" s="9" t="str">
        <f t="shared" si="4"/>
        <v>26-95</v>
      </c>
      <c r="B248" s="9" t="s">
        <v>462</v>
      </c>
      <c r="C248" s="146" t="s">
        <v>445</v>
      </c>
      <c r="D248" s="46" t="s">
        <v>463</v>
      </c>
      <c r="E248" s="147" t="s">
        <v>464</v>
      </c>
      <c r="F248" s="48" t="s">
        <v>145</v>
      </c>
      <c r="G248" s="49">
        <v>2</v>
      </c>
      <c r="H248" s="148">
        <v>2200000</v>
      </c>
      <c r="I248" s="148"/>
      <c r="J248" s="51"/>
      <c r="K248" s="48"/>
      <c r="L248" s="145"/>
      <c r="M248" s="142" t="s">
        <v>275</v>
      </c>
      <c r="N248" s="142"/>
      <c r="O248" s="142"/>
    </row>
    <row r="249" spans="1:15" s="54" customFormat="1" ht="35.1" customHeight="1">
      <c r="A249" s="9" t="str">
        <f t="shared" si="4"/>
        <v>26-96</v>
      </c>
      <c r="B249" s="9" t="s">
        <v>462</v>
      </c>
      <c r="C249" s="146" t="s">
        <v>445</v>
      </c>
      <c r="D249" s="46" t="s">
        <v>465</v>
      </c>
      <c r="E249" s="147" t="s">
        <v>466</v>
      </c>
      <c r="F249" s="48" t="s">
        <v>442</v>
      </c>
      <c r="G249" s="49">
        <v>1</v>
      </c>
      <c r="H249" s="148">
        <v>3100000</v>
      </c>
      <c r="I249" s="148"/>
      <c r="J249" s="51"/>
      <c r="K249" s="48"/>
      <c r="L249" s="145"/>
      <c r="M249" s="142" t="s">
        <v>304</v>
      </c>
      <c r="N249" s="142"/>
      <c r="O249" s="142"/>
    </row>
    <row r="250" spans="1:15" s="54" customFormat="1" ht="35.1" customHeight="1">
      <c r="A250" s="9" t="str">
        <f t="shared" si="4"/>
        <v>26-97</v>
      </c>
      <c r="B250" s="9" t="s">
        <v>86</v>
      </c>
      <c r="C250" s="146" t="s">
        <v>445</v>
      </c>
      <c r="D250" s="46" t="s">
        <v>467</v>
      </c>
      <c r="E250" s="147" t="s">
        <v>468</v>
      </c>
      <c r="F250" s="48" t="s">
        <v>442</v>
      </c>
      <c r="G250" s="49">
        <v>2</v>
      </c>
      <c r="H250" s="148">
        <v>4356000</v>
      </c>
      <c r="I250" s="148">
        <v>4356000</v>
      </c>
      <c r="J250" s="51">
        <v>46259</v>
      </c>
      <c r="K250" s="48"/>
      <c r="L250" s="145"/>
      <c r="M250" s="142" t="s">
        <v>341</v>
      </c>
      <c r="N250" s="142"/>
      <c r="O250" s="142"/>
    </row>
    <row r="251" spans="1:15" s="54" customFormat="1" ht="35.1" customHeight="1">
      <c r="A251" s="9" t="str">
        <f t="shared" si="4"/>
        <v>26-98</v>
      </c>
      <c r="B251" s="9" t="s">
        <v>462</v>
      </c>
      <c r="C251" s="146" t="s">
        <v>445</v>
      </c>
      <c r="D251" s="46" t="s">
        <v>469</v>
      </c>
      <c r="E251" s="147" t="s">
        <v>470</v>
      </c>
      <c r="F251" s="48" t="s">
        <v>199</v>
      </c>
      <c r="G251" s="49">
        <v>1</v>
      </c>
      <c r="H251" s="148">
        <v>13000000</v>
      </c>
      <c r="I251" s="148"/>
      <c r="J251" s="51"/>
      <c r="K251" s="48"/>
      <c r="L251" s="145"/>
      <c r="M251" s="142" t="s">
        <v>341</v>
      </c>
      <c r="N251" s="142"/>
      <c r="O251" s="142"/>
    </row>
    <row r="252" spans="1:15" s="54" customFormat="1" ht="35.1" customHeight="1">
      <c r="A252" s="9" t="str">
        <f t="shared" si="4"/>
        <v>26-99</v>
      </c>
      <c r="B252" s="9" t="s">
        <v>462</v>
      </c>
      <c r="C252" s="146" t="s">
        <v>445</v>
      </c>
      <c r="D252" s="46" t="s">
        <v>471</v>
      </c>
      <c r="E252" s="147" t="s">
        <v>470</v>
      </c>
      <c r="F252" s="48" t="s">
        <v>199</v>
      </c>
      <c r="G252" s="49">
        <v>1</v>
      </c>
      <c r="H252" s="148">
        <v>13000000</v>
      </c>
      <c r="I252" s="148"/>
      <c r="J252" s="51"/>
      <c r="K252" s="48"/>
      <c r="L252" s="145"/>
      <c r="M252" s="142" t="s">
        <v>341</v>
      </c>
      <c r="N252" s="142"/>
      <c r="O252" s="142"/>
    </row>
    <row r="253" spans="1:15" s="54" customFormat="1" ht="35.1" customHeight="1">
      <c r="A253" s="9" t="str">
        <f t="shared" si="4"/>
        <v>26-100</v>
      </c>
      <c r="B253" s="9" t="s">
        <v>462</v>
      </c>
      <c r="C253" s="146" t="s">
        <v>445</v>
      </c>
      <c r="D253" s="46" t="s">
        <v>114</v>
      </c>
      <c r="E253" s="147" t="s">
        <v>472</v>
      </c>
      <c r="F253" s="48" t="s">
        <v>145</v>
      </c>
      <c r="G253" s="49">
        <v>1</v>
      </c>
      <c r="H253" s="148">
        <v>660000</v>
      </c>
      <c r="I253" s="148"/>
      <c r="J253" s="51"/>
      <c r="K253" s="48"/>
      <c r="L253" s="145"/>
      <c r="M253" s="142" t="s">
        <v>304</v>
      </c>
      <c r="N253" s="142"/>
      <c r="O253" s="142"/>
    </row>
    <row r="254" spans="1:15" s="54" customFormat="1" ht="35.1" customHeight="1">
      <c r="A254" s="9" t="str">
        <f t="shared" si="4"/>
        <v>26-101</v>
      </c>
      <c r="B254" s="9" t="s">
        <v>462</v>
      </c>
      <c r="C254" s="146" t="s">
        <v>445</v>
      </c>
      <c r="D254" s="46" t="s">
        <v>62</v>
      </c>
      <c r="E254" s="147" t="s">
        <v>473</v>
      </c>
      <c r="F254" s="48" t="s">
        <v>442</v>
      </c>
      <c r="G254" s="49">
        <v>2</v>
      </c>
      <c r="H254" s="148">
        <v>20000000</v>
      </c>
      <c r="I254" s="148"/>
      <c r="J254" s="51"/>
      <c r="K254" s="48"/>
      <c r="L254" s="145"/>
      <c r="M254" s="142" t="s">
        <v>280</v>
      </c>
      <c r="N254" s="142"/>
      <c r="O254" s="142"/>
    </row>
    <row r="255" spans="1:15" s="54" customFormat="1" ht="35.1" customHeight="1">
      <c r="A255" s="9" t="str">
        <f t="shared" si="4"/>
        <v>26-102</v>
      </c>
      <c r="B255" s="9" t="s">
        <v>462</v>
      </c>
      <c r="C255" s="146" t="s">
        <v>445</v>
      </c>
      <c r="D255" s="46" t="s">
        <v>117</v>
      </c>
      <c r="E255" s="147" t="s">
        <v>474</v>
      </c>
      <c r="F255" s="48" t="s">
        <v>145</v>
      </c>
      <c r="G255" s="49">
        <v>1</v>
      </c>
      <c r="H255" s="148">
        <v>8684000</v>
      </c>
      <c r="I255" s="148"/>
      <c r="J255" s="51"/>
      <c r="K255" s="48"/>
      <c r="L255" s="145"/>
      <c r="M255" s="142" t="s">
        <v>285</v>
      </c>
      <c r="N255" s="142"/>
      <c r="O255" s="142"/>
    </row>
    <row r="256" spans="1:15" s="54" customFormat="1" ht="35.1" customHeight="1">
      <c r="A256" s="9" t="str">
        <f t="shared" si="4"/>
        <v>26-103</v>
      </c>
      <c r="B256" s="9" t="s">
        <v>462</v>
      </c>
      <c r="C256" s="146" t="s">
        <v>445</v>
      </c>
      <c r="D256" s="46" t="s">
        <v>475</v>
      </c>
      <c r="E256" s="147" t="s">
        <v>476</v>
      </c>
      <c r="F256" s="48" t="s">
        <v>442</v>
      </c>
      <c r="G256" s="49">
        <v>1</v>
      </c>
      <c r="H256" s="148">
        <v>2640000</v>
      </c>
      <c r="I256" s="148"/>
      <c r="J256" s="51"/>
      <c r="K256" s="48"/>
      <c r="L256" s="145"/>
      <c r="M256" s="142" t="s">
        <v>285</v>
      </c>
      <c r="N256" s="142"/>
      <c r="O256" s="142"/>
    </row>
    <row r="257" spans="1:15" s="54" customFormat="1" ht="35.1" customHeight="1">
      <c r="A257" s="9" t="str">
        <f t="shared" si="4"/>
        <v>26-104</v>
      </c>
      <c r="B257" s="9" t="s">
        <v>462</v>
      </c>
      <c r="C257" s="146" t="s">
        <v>445</v>
      </c>
      <c r="D257" s="46" t="s">
        <v>475</v>
      </c>
      <c r="E257" s="147" t="s">
        <v>451</v>
      </c>
      <c r="F257" s="48" t="s">
        <v>199</v>
      </c>
      <c r="G257" s="49">
        <v>1</v>
      </c>
      <c r="H257" s="148">
        <v>9500000</v>
      </c>
      <c r="I257" s="148"/>
      <c r="J257" s="51"/>
      <c r="K257" s="48"/>
      <c r="L257" s="145"/>
      <c r="M257" s="142" t="s">
        <v>285</v>
      </c>
      <c r="N257" s="142"/>
      <c r="O257" s="142"/>
    </row>
    <row r="258" spans="1:15" s="54" customFormat="1" ht="35.1" customHeight="1">
      <c r="A258" s="9" t="str">
        <f t="shared" si="4"/>
        <v>26-105</v>
      </c>
      <c r="B258" s="9" t="s">
        <v>462</v>
      </c>
      <c r="C258" s="146" t="s">
        <v>445</v>
      </c>
      <c r="D258" s="46" t="s">
        <v>47</v>
      </c>
      <c r="E258" s="147" t="s">
        <v>477</v>
      </c>
      <c r="F258" s="48" t="s">
        <v>442</v>
      </c>
      <c r="G258" s="49">
        <v>2</v>
      </c>
      <c r="H258" s="148">
        <v>8800000</v>
      </c>
      <c r="I258" s="148"/>
      <c r="J258" s="51"/>
      <c r="K258" s="48"/>
      <c r="L258" s="145"/>
      <c r="M258" s="142" t="s">
        <v>275</v>
      </c>
      <c r="N258" s="142"/>
      <c r="O258" s="142"/>
    </row>
    <row r="259" spans="1:15" s="54" customFormat="1" ht="35.1" customHeight="1">
      <c r="A259" s="9" t="str">
        <f t="shared" si="4"/>
        <v>26-106</v>
      </c>
      <c r="B259" s="9" t="s">
        <v>462</v>
      </c>
      <c r="C259" s="146" t="s">
        <v>445</v>
      </c>
      <c r="D259" s="46" t="s">
        <v>223</v>
      </c>
      <c r="E259" s="147" t="s">
        <v>448</v>
      </c>
      <c r="F259" s="48" t="s">
        <v>198</v>
      </c>
      <c r="G259" s="49">
        <v>1</v>
      </c>
      <c r="H259" s="148">
        <v>9000000</v>
      </c>
      <c r="I259" s="148"/>
      <c r="J259" s="51"/>
      <c r="K259" s="48"/>
      <c r="L259" s="145"/>
      <c r="M259" s="142" t="s">
        <v>275</v>
      </c>
      <c r="N259" s="142"/>
      <c r="O259" s="142"/>
    </row>
    <row r="260" spans="1:15" s="54" customFormat="1" ht="35.1" customHeight="1">
      <c r="A260" s="9" t="str">
        <f t="shared" si="4"/>
        <v>26-107</v>
      </c>
      <c r="B260" s="9" t="s">
        <v>462</v>
      </c>
      <c r="C260" s="146" t="s">
        <v>445</v>
      </c>
      <c r="D260" s="46" t="s">
        <v>186</v>
      </c>
      <c r="E260" s="147" t="s">
        <v>478</v>
      </c>
      <c r="F260" s="48" t="s">
        <v>442</v>
      </c>
      <c r="G260" s="49">
        <v>2</v>
      </c>
      <c r="H260" s="148">
        <v>13200000</v>
      </c>
      <c r="I260" s="148"/>
      <c r="J260" s="51"/>
      <c r="K260" s="48"/>
      <c r="L260" s="145"/>
      <c r="M260" s="142" t="s">
        <v>280</v>
      </c>
      <c r="N260" s="142"/>
      <c r="O260" s="142"/>
    </row>
    <row r="261" spans="1:15" s="54" customFormat="1" ht="35.1" customHeight="1">
      <c r="A261" s="9" t="str">
        <f t="shared" si="4"/>
        <v>26-108</v>
      </c>
      <c r="B261" s="9" t="s">
        <v>462</v>
      </c>
      <c r="C261" s="146" t="s">
        <v>445</v>
      </c>
      <c r="D261" s="46" t="s">
        <v>186</v>
      </c>
      <c r="E261" s="147" t="s">
        <v>479</v>
      </c>
      <c r="F261" s="48" t="s">
        <v>442</v>
      </c>
      <c r="G261" s="49">
        <v>1</v>
      </c>
      <c r="H261" s="148">
        <v>6600000</v>
      </c>
      <c r="I261" s="148"/>
      <c r="J261" s="51"/>
      <c r="K261" s="48"/>
      <c r="L261" s="145"/>
      <c r="M261" s="142" t="s">
        <v>280</v>
      </c>
      <c r="N261" s="142"/>
      <c r="O261" s="142"/>
    </row>
    <row r="262" spans="1:15" s="54" customFormat="1" ht="35.1" customHeight="1">
      <c r="A262" s="9" t="str">
        <f t="shared" si="4"/>
        <v>26-109</v>
      </c>
      <c r="B262" s="9" t="s">
        <v>462</v>
      </c>
      <c r="C262" s="146" t="s">
        <v>445</v>
      </c>
      <c r="D262" s="46" t="s">
        <v>186</v>
      </c>
      <c r="E262" s="147" t="s">
        <v>480</v>
      </c>
      <c r="F262" s="48" t="s">
        <v>442</v>
      </c>
      <c r="G262" s="49">
        <v>1</v>
      </c>
      <c r="H262" s="148">
        <v>24890000</v>
      </c>
      <c r="I262" s="148"/>
      <c r="J262" s="51"/>
      <c r="K262" s="48"/>
      <c r="L262" s="145"/>
      <c r="M262" s="142" t="s">
        <v>280</v>
      </c>
      <c r="N262" s="142"/>
      <c r="O262" s="142"/>
    </row>
    <row r="263" spans="1:15" s="54" customFormat="1" ht="35.1" customHeight="1">
      <c r="A263" s="9" t="str">
        <f t="shared" si="4"/>
        <v>26-110</v>
      </c>
      <c r="B263" s="9" t="s">
        <v>462</v>
      </c>
      <c r="C263" s="146" t="s">
        <v>445</v>
      </c>
      <c r="D263" s="46" t="s">
        <v>186</v>
      </c>
      <c r="E263" s="147" t="s">
        <v>481</v>
      </c>
      <c r="F263" s="48" t="s">
        <v>442</v>
      </c>
      <c r="G263" s="49">
        <v>1</v>
      </c>
      <c r="H263" s="148">
        <v>9500000</v>
      </c>
      <c r="I263" s="148"/>
      <c r="J263" s="51"/>
      <c r="K263" s="48"/>
      <c r="L263" s="145"/>
      <c r="M263" s="142" t="s">
        <v>280</v>
      </c>
      <c r="N263" s="142"/>
      <c r="O263" s="142"/>
    </row>
    <row r="264" spans="1:15" s="54" customFormat="1" ht="35.1" customHeight="1">
      <c r="A264" s="9" t="str">
        <f t="shared" si="4"/>
        <v>26-111</v>
      </c>
      <c r="B264" s="9" t="s">
        <v>462</v>
      </c>
      <c r="C264" s="146" t="s">
        <v>445</v>
      </c>
      <c r="D264" s="46" t="s">
        <v>42</v>
      </c>
      <c r="E264" s="147" t="s">
        <v>482</v>
      </c>
      <c r="F264" s="48" t="s">
        <v>442</v>
      </c>
      <c r="G264" s="49">
        <v>2</v>
      </c>
      <c r="H264" s="148">
        <v>4200000</v>
      </c>
      <c r="I264" s="148"/>
      <c r="J264" s="51"/>
      <c r="K264" s="48"/>
      <c r="L264" s="145"/>
      <c r="M264" s="142" t="s">
        <v>309</v>
      </c>
      <c r="N264" s="142"/>
      <c r="O264" s="142"/>
    </row>
    <row r="265" spans="1:15" s="54" customFormat="1" ht="35.1" customHeight="1">
      <c r="A265" s="9" t="str">
        <f t="shared" si="4"/>
        <v>26-112</v>
      </c>
      <c r="B265" s="9" t="s">
        <v>462</v>
      </c>
      <c r="C265" s="146" t="s">
        <v>445</v>
      </c>
      <c r="D265" s="46" t="s">
        <v>483</v>
      </c>
      <c r="E265" s="147" t="s">
        <v>484</v>
      </c>
      <c r="F265" s="48" t="s">
        <v>198</v>
      </c>
      <c r="G265" s="49">
        <v>1</v>
      </c>
      <c r="H265" s="148">
        <v>9900000</v>
      </c>
      <c r="I265" s="148"/>
      <c r="J265" s="51"/>
      <c r="K265" s="48"/>
      <c r="L265" s="145"/>
      <c r="M265" s="142" t="s">
        <v>285</v>
      </c>
      <c r="N265" s="142"/>
      <c r="O265" s="142"/>
    </row>
    <row r="266" spans="1:15" s="54" customFormat="1" ht="35.1" customHeight="1">
      <c r="A266" s="9" t="str">
        <f t="shared" si="4"/>
        <v>26-113</v>
      </c>
      <c r="B266" s="9" t="s">
        <v>462</v>
      </c>
      <c r="C266" s="146" t="s">
        <v>445</v>
      </c>
      <c r="D266" s="46" t="s">
        <v>485</v>
      </c>
      <c r="E266" s="147" t="s">
        <v>466</v>
      </c>
      <c r="F266" s="48" t="s">
        <v>442</v>
      </c>
      <c r="G266" s="49">
        <v>1</v>
      </c>
      <c r="H266" s="148">
        <v>3100000</v>
      </c>
      <c r="I266" s="148"/>
      <c r="J266" s="51"/>
      <c r="K266" s="48"/>
      <c r="L266" s="145"/>
      <c r="M266" s="142" t="s">
        <v>309</v>
      </c>
      <c r="N266" s="142"/>
      <c r="O266" s="142"/>
    </row>
    <row r="267" spans="1:15" s="54" customFormat="1" ht="35.1" customHeight="1">
      <c r="A267" s="9" t="str">
        <f t="shared" si="4"/>
        <v>26-114</v>
      </c>
      <c r="B267" s="9" t="s">
        <v>462</v>
      </c>
      <c r="C267" s="146" t="s">
        <v>445</v>
      </c>
      <c r="D267" s="46" t="s">
        <v>62</v>
      </c>
      <c r="E267" s="147" t="s">
        <v>486</v>
      </c>
      <c r="F267" s="48" t="s">
        <v>145</v>
      </c>
      <c r="G267" s="49">
        <v>1</v>
      </c>
      <c r="H267" s="148">
        <v>310000000</v>
      </c>
      <c r="I267" s="148"/>
      <c r="J267" s="51"/>
      <c r="K267" s="48"/>
      <c r="L267" s="145"/>
      <c r="M267" s="142" t="s">
        <v>280</v>
      </c>
      <c r="N267" s="142"/>
      <c r="O267" s="142"/>
    </row>
    <row r="268" spans="1:15" s="54" customFormat="1" ht="35.1" customHeight="1">
      <c r="A268" s="9" t="str">
        <f t="shared" si="4"/>
        <v>26-115</v>
      </c>
      <c r="B268" s="9" t="s">
        <v>462</v>
      </c>
      <c r="C268" s="146" t="s">
        <v>445</v>
      </c>
      <c r="D268" s="46" t="s">
        <v>186</v>
      </c>
      <c r="E268" s="147" t="s">
        <v>487</v>
      </c>
      <c r="F268" s="48" t="s">
        <v>145</v>
      </c>
      <c r="G268" s="49">
        <v>1</v>
      </c>
      <c r="H268" s="148">
        <v>665000000</v>
      </c>
      <c r="I268" s="148"/>
      <c r="J268" s="51"/>
      <c r="K268" s="48" t="s">
        <v>488</v>
      </c>
      <c r="L268" s="145"/>
      <c r="M268" s="142" t="s">
        <v>280</v>
      </c>
      <c r="N268" s="142"/>
      <c r="O268" s="142"/>
    </row>
    <row r="269" spans="1:15" s="54" customFormat="1" ht="35.1" customHeight="1">
      <c r="A269" s="9" t="str">
        <f t="shared" si="4"/>
        <v>26-116</v>
      </c>
      <c r="B269" s="9" t="s">
        <v>462</v>
      </c>
      <c r="C269" s="146" t="s">
        <v>489</v>
      </c>
      <c r="D269" s="46" t="s">
        <v>50</v>
      </c>
      <c r="E269" s="147" t="s">
        <v>490</v>
      </c>
      <c r="F269" s="48" t="s">
        <v>198</v>
      </c>
      <c r="G269" s="49">
        <v>1</v>
      </c>
      <c r="H269" s="148">
        <v>125000000</v>
      </c>
      <c r="I269" s="148"/>
      <c r="J269" s="51"/>
      <c r="K269" s="48" t="s">
        <v>491</v>
      </c>
      <c r="L269" s="145"/>
      <c r="M269" s="142" t="s">
        <v>275</v>
      </c>
      <c r="N269" s="142"/>
      <c r="O269" s="142"/>
    </row>
    <row r="270" spans="1:15" s="54" customFormat="1" ht="35.1" customHeight="1">
      <c r="A270" s="9" t="str">
        <f t="shared" si="4"/>
        <v>26-117</v>
      </c>
      <c r="B270" s="9" t="s">
        <v>462</v>
      </c>
      <c r="C270" s="146" t="s">
        <v>489</v>
      </c>
      <c r="D270" s="46" t="s">
        <v>50</v>
      </c>
      <c r="E270" s="147" t="s">
        <v>492</v>
      </c>
      <c r="F270" s="48" t="s">
        <v>198</v>
      </c>
      <c r="G270" s="49">
        <v>3</v>
      </c>
      <c r="H270" s="148">
        <v>150000000</v>
      </c>
      <c r="I270" s="148"/>
      <c r="J270" s="51"/>
      <c r="K270" s="48" t="s">
        <v>491</v>
      </c>
      <c r="L270" s="145"/>
      <c r="M270" s="142" t="s">
        <v>275</v>
      </c>
      <c r="N270" s="142"/>
      <c r="O270" s="142"/>
    </row>
    <row r="271" spans="1:15" s="54" customFormat="1" ht="35.1" customHeight="1">
      <c r="A271" s="9" t="str">
        <f t="shared" si="4"/>
        <v>26-118</v>
      </c>
      <c r="B271" s="9" t="s">
        <v>462</v>
      </c>
      <c r="C271" s="146" t="s">
        <v>489</v>
      </c>
      <c r="D271" s="46" t="s">
        <v>50</v>
      </c>
      <c r="E271" s="147" t="s">
        <v>493</v>
      </c>
      <c r="F271" s="48" t="s">
        <v>198</v>
      </c>
      <c r="G271" s="49">
        <v>2</v>
      </c>
      <c r="H271" s="148">
        <v>120000000</v>
      </c>
      <c r="I271" s="148"/>
      <c r="J271" s="51"/>
      <c r="K271" s="48" t="s">
        <v>491</v>
      </c>
      <c r="L271" s="145"/>
      <c r="M271" s="142" t="s">
        <v>275</v>
      </c>
      <c r="N271" s="142"/>
      <c r="O271" s="142"/>
    </row>
    <row r="272" spans="1:15" s="54" customFormat="1" ht="35.1" customHeight="1">
      <c r="A272" s="9" t="str">
        <f t="shared" si="4"/>
        <v>26-119</v>
      </c>
      <c r="B272" s="9" t="s">
        <v>462</v>
      </c>
      <c r="C272" s="146" t="s">
        <v>489</v>
      </c>
      <c r="D272" s="46" t="s">
        <v>50</v>
      </c>
      <c r="E272" s="147" t="s">
        <v>494</v>
      </c>
      <c r="F272" s="48" t="s">
        <v>198</v>
      </c>
      <c r="G272" s="49">
        <v>4</v>
      </c>
      <c r="H272" s="148">
        <v>10560000</v>
      </c>
      <c r="I272" s="148"/>
      <c r="J272" s="51"/>
      <c r="K272" s="48" t="s">
        <v>491</v>
      </c>
      <c r="L272" s="145"/>
      <c r="M272" s="142" t="s">
        <v>275</v>
      </c>
      <c r="N272" s="142"/>
      <c r="O272" s="142"/>
    </row>
    <row r="273" spans="1:15" s="54" customFormat="1" ht="35.1" customHeight="1">
      <c r="A273" s="9" t="str">
        <f t="shared" si="4"/>
        <v>26-120</v>
      </c>
      <c r="B273" s="9" t="s">
        <v>462</v>
      </c>
      <c r="C273" s="146" t="s">
        <v>489</v>
      </c>
      <c r="D273" s="46" t="s">
        <v>50</v>
      </c>
      <c r="E273" s="147" t="s">
        <v>495</v>
      </c>
      <c r="F273" s="48" t="s">
        <v>198</v>
      </c>
      <c r="G273" s="49">
        <v>1</v>
      </c>
      <c r="H273" s="148">
        <v>7000000</v>
      </c>
      <c r="I273" s="148"/>
      <c r="J273" s="51"/>
      <c r="K273" s="48" t="s">
        <v>491</v>
      </c>
      <c r="L273" s="145"/>
      <c r="M273" s="142" t="s">
        <v>275</v>
      </c>
      <c r="N273" s="142"/>
      <c r="O273" s="142"/>
    </row>
    <row r="274" spans="1:15" s="54" customFormat="1" ht="35.1" customHeight="1">
      <c r="A274" s="9" t="str">
        <f t="shared" si="4"/>
        <v>26-121</v>
      </c>
      <c r="B274" s="9" t="s">
        <v>462</v>
      </c>
      <c r="C274" s="146" t="s">
        <v>489</v>
      </c>
      <c r="D274" s="46" t="s">
        <v>50</v>
      </c>
      <c r="E274" s="147" t="s">
        <v>496</v>
      </c>
      <c r="F274" s="48" t="s">
        <v>198</v>
      </c>
      <c r="G274" s="49">
        <v>2</v>
      </c>
      <c r="H274" s="148" t="s">
        <v>151</v>
      </c>
      <c r="I274" s="148"/>
      <c r="J274" s="51"/>
      <c r="K274" s="48" t="s">
        <v>491</v>
      </c>
      <c r="L274" s="145"/>
      <c r="M274" s="142" t="s">
        <v>275</v>
      </c>
      <c r="N274" s="142"/>
      <c r="O274" s="142"/>
    </row>
  </sheetData>
  <autoFilter ref="A2:O274" xr:uid="{EDADA061-7EB1-43CA-888E-D28888D58249}"/>
  <mergeCells count="2">
    <mergeCell ref="A1:K1"/>
    <mergeCell ref="L41:L43"/>
  </mergeCells>
  <phoneticPr fontId="3" type="noConversion"/>
  <conditionalFormatting sqref="B275:B1048576 B1:B2">
    <cfRule type="containsText" dxfId="265" priority="262" operator="containsText" text="취소">
      <formula>NOT(ISERROR(SEARCH("취소",B1)))</formula>
    </cfRule>
    <cfRule type="containsText" dxfId="264" priority="263" operator="containsText" text="진행중">
      <formula>NOT(ISERROR(SEARCH("진행중",B1)))</formula>
    </cfRule>
    <cfRule type="containsText" dxfId="263" priority="264" operator="containsText" text="완료">
      <formula>NOT(ISERROR(SEARCH("완료",B1)))</formula>
    </cfRule>
    <cfRule type="containsText" dxfId="262" priority="265" operator="containsText" text="보류">
      <formula>NOT(ISERROR(SEARCH("보류",B1)))</formula>
    </cfRule>
    <cfRule type="containsText" dxfId="261" priority="266" operator="containsText" text="진행예정">
      <formula>NOT(ISERROR(SEARCH("진행예정",B1)))</formula>
    </cfRule>
  </conditionalFormatting>
  <conditionalFormatting sqref="B3:B77 B82:B95 B97:B98 B138:B153 B102:B113">
    <cfRule type="containsText" dxfId="260" priority="257" operator="containsText" text="취소">
      <formula>NOT(ISERROR(SEARCH("취소",B3)))</formula>
    </cfRule>
    <cfRule type="containsText" dxfId="259" priority="258" operator="containsText" text="진행중">
      <formula>NOT(ISERROR(SEARCH("진행중",B3)))</formula>
    </cfRule>
    <cfRule type="containsText" dxfId="258" priority="259" operator="containsText" text="완료">
      <formula>NOT(ISERROR(SEARCH("완료",B3)))</formula>
    </cfRule>
    <cfRule type="containsText" dxfId="257" priority="260" operator="containsText" text="보류">
      <formula>NOT(ISERROR(SEARCH("보류",B3)))</formula>
    </cfRule>
    <cfRule type="containsText" dxfId="256" priority="261" operator="containsText" text="진행예정">
      <formula>NOT(ISERROR(SEARCH("진행예정",B3)))</formula>
    </cfRule>
  </conditionalFormatting>
  <conditionalFormatting sqref="B30">
    <cfRule type="containsText" dxfId="255" priority="252" operator="containsText" text="취소">
      <formula>NOT(ISERROR(SEARCH("취소",B30)))</formula>
    </cfRule>
    <cfRule type="containsText" dxfId="254" priority="253" operator="containsText" text="진행중">
      <formula>NOT(ISERROR(SEARCH("진행중",B30)))</formula>
    </cfRule>
    <cfRule type="containsText" dxfId="253" priority="254" operator="containsText" text="완료">
      <formula>NOT(ISERROR(SEARCH("완료",B30)))</formula>
    </cfRule>
    <cfRule type="containsText" dxfId="252" priority="255" operator="containsText" text="보류">
      <formula>NOT(ISERROR(SEARCH("보류",B30)))</formula>
    </cfRule>
    <cfRule type="containsText" dxfId="251" priority="256" operator="containsText" text="진행예정">
      <formula>NOT(ISERROR(SEARCH("진행예정",B30)))</formula>
    </cfRule>
  </conditionalFormatting>
  <conditionalFormatting sqref="B78:B81">
    <cfRule type="containsText" dxfId="250" priority="247" operator="containsText" text="취소">
      <formula>NOT(ISERROR(SEARCH("취소",B78)))</formula>
    </cfRule>
    <cfRule type="containsText" dxfId="249" priority="248" operator="containsText" text="진행중">
      <formula>NOT(ISERROR(SEARCH("진행중",B78)))</formula>
    </cfRule>
    <cfRule type="containsText" dxfId="248" priority="249" operator="containsText" text="완료">
      <formula>NOT(ISERROR(SEARCH("완료",B78)))</formula>
    </cfRule>
    <cfRule type="containsText" dxfId="247" priority="250" operator="containsText" text="보류">
      <formula>NOT(ISERROR(SEARCH("보류",B78)))</formula>
    </cfRule>
    <cfRule type="containsText" dxfId="246" priority="251" operator="containsText" text="진행예정">
      <formula>NOT(ISERROR(SEARCH("진행예정",B78)))</formula>
    </cfRule>
  </conditionalFormatting>
  <conditionalFormatting sqref="B93">
    <cfRule type="containsText" dxfId="245" priority="242" operator="containsText" text="취소">
      <formula>NOT(ISERROR(SEARCH("취소",B93)))</formula>
    </cfRule>
    <cfRule type="containsText" dxfId="244" priority="243" operator="containsText" text="진행중">
      <formula>NOT(ISERROR(SEARCH("진행중",B93)))</formula>
    </cfRule>
    <cfRule type="containsText" dxfId="243" priority="244" operator="containsText" text="완료">
      <formula>NOT(ISERROR(SEARCH("완료",B93)))</formula>
    </cfRule>
    <cfRule type="containsText" dxfId="242" priority="245" operator="containsText" text="보류">
      <formula>NOT(ISERROR(SEARCH("보류",B93)))</formula>
    </cfRule>
    <cfRule type="containsText" dxfId="241" priority="246" operator="containsText" text="진행예정">
      <formula>NOT(ISERROR(SEARCH("진행예정",B93)))</formula>
    </cfRule>
  </conditionalFormatting>
  <conditionalFormatting sqref="B116:B120">
    <cfRule type="containsText" dxfId="240" priority="237" operator="containsText" text="취소">
      <formula>NOT(ISERROR(SEARCH("취소",B116)))</formula>
    </cfRule>
    <cfRule type="containsText" dxfId="239" priority="238" operator="containsText" text="진행중">
      <formula>NOT(ISERROR(SEARCH("진행중",B116)))</formula>
    </cfRule>
    <cfRule type="containsText" dxfId="238" priority="239" operator="containsText" text="완료">
      <formula>NOT(ISERROR(SEARCH("완료",B116)))</formula>
    </cfRule>
    <cfRule type="containsText" dxfId="237" priority="240" operator="containsText" text="보류">
      <formula>NOT(ISERROR(SEARCH("보류",B116)))</formula>
    </cfRule>
    <cfRule type="containsText" dxfId="236" priority="241" operator="containsText" text="진행예정">
      <formula>NOT(ISERROR(SEARCH("진행예정",B116)))</formula>
    </cfRule>
  </conditionalFormatting>
  <conditionalFormatting sqref="B121">
    <cfRule type="containsText" dxfId="235" priority="232" operator="containsText" text="취소">
      <formula>NOT(ISERROR(SEARCH("취소",B121)))</formula>
    </cfRule>
    <cfRule type="containsText" dxfId="234" priority="233" operator="containsText" text="진행중">
      <formula>NOT(ISERROR(SEARCH("진행중",B121)))</formula>
    </cfRule>
    <cfRule type="containsText" dxfId="233" priority="234" operator="containsText" text="완료">
      <formula>NOT(ISERROR(SEARCH("완료",B121)))</formula>
    </cfRule>
    <cfRule type="containsText" dxfId="232" priority="235" operator="containsText" text="보류">
      <formula>NOT(ISERROR(SEARCH("보류",B121)))</formula>
    </cfRule>
    <cfRule type="containsText" dxfId="231" priority="236" operator="containsText" text="진행예정">
      <formula>NOT(ISERROR(SEARCH("진행예정",B121)))</formula>
    </cfRule>
  </conditionalFormatting>
  <conditionalFormatting sqref="B129 B131:B132 B134:B135">
    <cfRule type="containsText" dxfId="230" priority="227" operator="containsText" text="취소">
      <formula>NOT(ISERROR(SEARCH("취소",B129)))</formula>
    </cfRule>
    <cfRule type="containsText" dxfId="229" priority="228" operator="containsText" text="진행중">
      <formula>NOT(ISERROR(SEARCH("진행중",B129)))</formula>
    </cfRule>
    <cfRule type="containsText" dxfId="228" priority="229" operator="containsText" text="완료">
      <formula>NOT(ISERROR(SEARCH("완료",B129)))</formula>
    </cfRule>
    <cfRule type="containsText" dxfId="227" priority="230" operator="containsText" text="보류">
      <formula>NOT(ISERROR(SEARCH("보류",B129)))</formula>
    </cfRule>
    <cfRule type="containsText" dxfId="226" priority="231" operator="containsText" text="진행예정">
      <formula>NOT(ISERROR(SEARCH("진행예정",B129)))</formula>
    </cfRule>
  </conditionalFormatting>
  <conditionalFormatting sqref="B137">
    <cfRule type="containsText" dxfId="225" priority="222" operator="containsText" text="취소">
      <formula>NOT(ISERROR(SEARCH("취소",B137)))</formula>
    </cfRule>
    <cfRule type="containsText" dxfId="224" priority="223" operator="containsText" text="진행중">
      <formula>NOT(ISERROR(SEARCH("진행중",B137)))</formula>
    </cfRule>
    <cfRule type="containsText" dxfId="223" priority="224" operator="containsText" text="완료">
      <formula>NOT(ISERROR(SEARCH("완료",B137)))</formula>
    </cfRule>
    <cfRule type="containsText" dxfId="222" priority="225" operator="containsText" text="보류">
      <formula>NOT(ISERROR(SEARCH("보류",B137)))</formula>
    </cfRule>
    <cfRule type="containsText" dxfId="221" priority="226" operator="containsText" text="진행예정">
      <formula>NOT(ISERROR(SEARCH("진행예정",B137)))</formula>
    </cfRule>
  </conditionalFormatting>
  <conditionalFormatting sqref="B114:B115">
    <cfRule type="containsText" dxfId="220" priority="217" operator="containsText" text="취소">
      <formula>NOT(ISERROR(SEARCH("취소",B114)))</formula>
    </cfRule>
    <cfRule type="containsText" dxfId="219" priority="218" operator="containsText" text="진행중">
      <formula>NOT(ISERROR(SEARCH("진행중",B114)))</formula>
    </cfRule>
    <cfRule type="containsText" dxfId="218" priority="219" operator="containsText" text="완료">
      <formula>NOT(ISERROR(SEARCH("완료",B114)))</formula>
    </cfRule>
    <cfRule type="containsText" dxfId="217" priority="220" operator="containsText" text="보류">
      <formula>NOT(ISERROR(SEARCH("보류",B114)))</formula>
    </cfRule>
    <cfRule type="containsText" dxfId="216" priority="221" operator="containsText" text="진행예정">
      <formula>NOT(ISERROR(SEARCH("진행예정",B114)))</formula>
    </cfRule>
  </conditionalFormatting>
  <conditionalFormatting sqref="B122">
    <cfRule type="containsText" dxfId="215" priority="212" operator="containsText" text="취소">
      <formula>NOT(ISERROR(SEARCH("취소",B122)))</formula>
    </cfRule>
    <cfRule type="containsText" dxfId="214" priority="213" operator="containsText" text="진행중">
      <formula>NOT(ISERROR(SEARCH("진행중",B122)))</formula>
    </cfRule>
    <cfRule type="containsText" dxfId="213" priority="214" operator="containsText" text="완료">
      <formula>NOT(ISERROR(SEARCH("완료",B122)))</formula>
    </cfRule>
    <cfRule type="containsText" dxfId="212" priority="215" operator="containsText" text="보류">
      <formula>NOT(ISERROR(SEARCH("보류",B122)))</formula>
    </cfRule>
    <cfRule type="containsText" dxfId="211" priority="216" operator="containsText" text="진행예정">
      <formula>NOT(ISERROR(SEARCH("진행예정",B122)))</formula>
    </cfRule>
  </conditionalFormatting>
  <conditionalFormatting sqref="B123">
    <cfRule type="containsText" dxfId="210" priority="207" operator="containsText" text="취소">
      <formula>NOT(ISERROR(SEARCH("취소",B123)))</formula>
    </cfRule>
    <cfRule type="containsText" dxfId="209" priority="208" operator="containsText" text="진행중">
      <formula>NOT(ISERROR(SEARCH("진행중",B123)))</formula>
    </cfRule>
    <cfRule type="containsText" dxfId="208" priority="209" operator="containsText" text="완료">
      <formula>NOT(ISERROR(SEARCH("완료",B123)))</formula>
    </cfRule>
    <cfRule type="containsText" dxfId="207" priority="210" operator="containsText" text="보류">
      <formula>NOT(ISERROR(SEARCH("보류",B123)))</formula>
    </cfRule>
    <cfRule type="containsText" dxfId="206" priority="211" operator="containsText" text="진행예정">
      <formula>NOT(ISERROR(SEARCH("진행예정",B123)))</formula>
    </cfRule>
  </conditionalFormatting>
  <conditionalFormatting sqref="B124">
    <cfRule type="containsText" dxfId="205" priority="202" operator="containsText" text="취소">
      <formula>NOT(ISERROR(SEARCH("취소",B124)))</formula>
    </cfRule>
    <cfRule type="containsText" dxfId="204" priority="203" operator="containsText" text="진행중">
      <formula>NOT(ISERROR(SEARCH("진행중",B124)))</formula>
    </cfRule>
    <cfRule type="containsText" dxfId="203" priority="204" operator="containsText" text="완료">
      <formula>NOT(ISERROR(SEARCH("완료",B124)))</formula>
    </cfRule>
    <cfRule type="containsText" dxfId="202" priority="205" operator="containsText" text="보류">
      <formula>NOT(ISERROR(SEARCH("보류",B124)))</formula>
    </cfRule>
    <cfRule type="containsText" dxfId="201" priority="206" operator="containsText" text="진행예정">
      <formula>NOT(ISERROR(SEARCH("진행예정",B124)))</formula>
    </cfRule>
  </conditionalFormatting>
  <conditionalFormatting sqref="B136">
    <cfRule type="containsText" dxfId="200" priority="197" operator="containsText" text="취소">
      <formula>NOT(ISERROR(SEARCH("취소",B136)))</formula>
    </cfRule>
    <cfRule type="containsText" dxfId="199" priority="198" operator="containsText" text="진행중">
      <formula>NOT(ISERROR(SEARCH("진행중",B136)))</formula>
    </cfRule>
    <cfRule type="containsText" dxfId="198" priority="199" operator="containsText" text="완료">
      <formula>NOT(ISERROR(SEARCH("완료",B136)))</formula>
    </cfRule>
    <cfRule type="containsText" dxfId="197" priority="200" operator="containsText" text="보류">
      <formula>NOT(ISERROR(SEARCH("보류",B136)))</formula>
    </cfRule>
    <cfRule type="containsText" dxfId="196" priority="201" operator="containsText" text="진행예정">
      <formula>NOT(ISERROR(SEARCH("진행예정",B136)))</formula>
    </cfRule>
  </conditionalFormatting>
  <conditionalFormatting sqref="B96">
    <cfRule type="containsText" dxfId="195" priority="192" operator="containsText" text="취소">
      <formula>NOT(ISERROR(SEARCH("취소",B96)))</formula>
    </cfRule>
    <cfRule type="containsText" dxfId="194" priority="193" operator="containsText" text="진행중">
      <formula>NOT(ISERROR(SEARCH("진행중",B96)))</formula>
    </cfRule>
    <cfRule type="containsText" dxfId="193" priority="194" operator="containsText" text="완료">
      <formula>NOT(ISERROR(SEARCH("완료",B96)))</formula>
    </cfRule>
    <cfRule type="containsText" dxfId="192" priority="195" operator="containsText" text="보류">
      <formula>NOT(ISERROR(SEARCH("보류",B96)))</formula>
    </cfRule>
    <cfRule type="containsText" dxfId="191" priority="196" operator="containsText" text="진행예정">
      <formula>NOT(ISERROR(SEARCH("진행예정",B96)))</formula>
    </cfRule>
  </conditionalFormatting>
  <conditionalFormatting sqref="B127">
    <cfRule type="containsText" dxfId="190" priority="187" operator="containsText" text="취소">
      <formula>NOT(ISERROR(SEARCH("취소",B127)))</formula>
    </cfRule>
    <cfRule type="containsText" dxfId="189" priority="188" operator="containsText" text="진행중">
      <formula>NOT(ISERROR(SEARCH("진행중",B127)))</formula>
    </cfRule>
    <cfRule type="containsText" dxfId="188" priority="189" operator="containsText" text="완료">
      <formula>NOT(ISERROR(SEARCH("완료",B127)))</formula>
    </cfRule>
    <cfRule type="containsText" dxfId="187" priority="190" operator="containsText" text="보류">
      <formula>NOT(ISERROR(SEARCH("보류",B127)))</formula>
    </cfRule>
    <cfRule type="containsText" dxfId="186" priority="191" operator="containsText" text="진행예정">
      <formula>NOT(ISERROR(SEARCH("진행예정",B127)))</formula>
    </cfRule>
  </conditionalFormatting>
  <conditionalFormatting sqref="B133">
    <cfRule type="containsText" dxfId="185" priority="182" operator="containsText" text="취소">
      <formula>NOT(ISERROR(SEARCH("취소",B133)))</formula>
    </cfRule>
    <cfRule type="containsText" dxfId="184" priority="183" operator="containsText" text="진행중">
      <formula>NOT(ISERROR(SEARCH("진행중",B133)))</formula>
    </cfRule>
    <cfRule type="containsText" dxfId="183" priority="184" operator="containsText" text="완료">
      <formula>NOT(ISERROR(SEARCH("완료",B133)))</formula>
    </cfRule>
    <cfRule type="containsText" dxfId="182" priority="185" operator="containsText" text="보류">
      <formula>NOT(ISERROR(SEARCH("보류",B133)))</formula>
    </cfRule>
    <cfRule type="containsText" dxfId="181" priority="186" operator="containsText" text="진행예정">
      <formula>NOT(ISERROR(SEARCH("진행예정",B133)))</formula>
    </cfRule>
  </conditionalFormatting>
  <conditionalFormatting sqref="B128">
    <cfRule type="containsText" dxfId="180" priority="177" operator="containsText" text="취소">
      <formula>NOT(ISERROR(SEARCH("취소",B128)))</formula>
    </cfRule>
    <cfRule type="containsText" dxfId="179" priority="178" operator="containsText" text="진행중">
      <formula>NOT(ISERROR(SEARCH("진행중",B128)))</formula>
    </cfRule>
    <cfRule type="containsText" dxfId="178" priority="179" operator="containsText" text="완료">
      <formula>NOT(ISERROR(SEARCH("완료",B128)))</formula>
    </cfRule>
    <cfRule type="containsText" dxfId="177" priority="180" operator="containsText" text="보류">
      <formula>NOT(ISERROR(SEARCH("보류",B128)))</formula>
    </cfRule>
    <cfRule type="containsText" dxfId="176" priority="181" operator="containsText" text="진행예정">
      <formula>NOT(ISERROR(SEARCH("진행예정",B128)))</formula>
    </cfRule>
  </conditionalFormatting>
  <conditionalFormatting sqref="B126">
    <cfRule type="containsText" dxfId="175" priority="172" operator="containsText" text="취소">
      <formula>NOT(ISERROR(SEARCH("취소",B126)))</formula>
    </cfRule>
    <cfRule type="containsText" dxfId="174" priority="173" operator="containsText" text="진행중">
      <formula>NOT(ISERROR(SEARCH("진행중",B126)))</formula>
    </cfRule>
    <cfRule type="containsText" dxfId="173" priority="174" operator="containsText" text="완료">
      <formula>NOT(ISERROR(SEARCH("완료",B126)))</formula>
    </cfRule>
    <cfRule type="containsText" dxfId="172" priority="175" operator="containsText" text="보류">
      <formula>NOT(ISERROR(SEARCH("보류",B126)))</formula>
    </cfRule>
    <cfRule type="containsText" dxfId="171" priority="176" operator="containsText" text="진행예정">
      <formula>NOT(ISERROR(SEARCH("진행예정",B126)))</formula>
    </cfRule>
  </conditionalFormatting>
  <conditionalFormatting sqref="B125">
    <cfRule type="containsText" dxfId="170" priority="167" operator="containsText" text="취소">
      <formula>NOT(ISERROR(SEARCH("취소",B125)))</formula>
    </cfRule>
    <cfRule type="containsText" dxfId="169" priority="168" operator="containsText" text="진행중">
      <formula>NOT(ISERROR(SEARCH("진행중",B125)))</formula>
    </cfRule>
    <cfRule type="containsText" dxfId="168" priority="169" operator="containsText" text="완료">
      <formula>NOT(ISERROR(SEARCH("완료",B125)))</formula>
    </cfRule>
    <cfRule type="containsText" dxfId="167" priority="170" operator="containsText" text="보류">
      <formula>NOT(ISERROR(SEARCH("보류",B125)))</formula>
    </cfRule>
    <cfRule type="containsText" dxfId="166" priority="171" operator="containsText" text="진행예정">
      <formula>NOT(ISERROR(SEARCH("진행예정",B125)))</formula>
    </cfRule>
  </conditionalFormatting>
  <conditionalFormatting sqref="B99">
    <cfRule type="containsText" dxfId="165" priority="162" operator="containsText" text="취소">
      <formula>NOT(ISERROR(SEARCH("취소",B99)))</formula>
    </cfRule>
    <cfRule type="containsText" dxfId="164" priority="163" operator="containsText" text="진행중">
      <formula>NOT(ISERROR(SEARCH("진행중",B99)))</formula>
    </cfRule>
    <cfRule type="containsText" dxfId="163" priority="164" operator="containsText" text="완료">
      <formula>NOT(ISERROR(SEARCH("완료",B99)))</formula>
    </cfRule>
    <cfRule type="containsText" dxfId="162" priority="165" operator="containsText" text="보류">
      <formula>NOT(ISERROR(SEARCH("보류",B99)))</formula>
    </cfRule>
    <cfRule type="containsText" dxfId="161" priority="166" operator="containsText" text="진행예정">
      <formula>NOT(ISERROR(SEARCH("진행예정",B99)))</formula>
    </cfRule>
  </conditionalFormatting>
  <conditionalFormatting sqref="B130">
    <cfRule type="containsText" dxfId="160" priority="157" operator="containsText" text="취소">
      <formula>NOT(ISERROR(SEARCH("취소",B130)))</formula>
    </cfRule>
    <cfRule type="containsText" dxfId="159" priority="158" operator="containsText" text="진행중">
      <formula>NOT(ISERROR(SEARCH("진행중",B130)))</formula>
    </cfRule>
    <cfRule type="containsText" dxfId="158" priority="159" operator="containsText" text="완료">
      <formula>NOT(ISERROR(SEARCH("완료",B130)))</formula>
    </cfRule>
    <cfRule type="containsText" dxfId="157" priority="160" operator="containsText" text="보류">
      <formula>NOT(ISERROR(SEARCH("보류",B130)))</formula>
    </cfRule>
    <cfRule type="containsText" dxfId="156" priority="161" operator="containsText" text="진행예정">
      <formula>NOT(ISERROR(SEARCH("진행예정",B130)))</formula>
    </cfRule>
  </conditionalFormatting>
  <conditionalFormatting sqref="B100">
    <cfRule type="containsText" dxfId="155" priority="152" operator="containsText" text="취소">
      <formula>NOT(ISERROR(SEARCH("취소",B100)))</formula>
    </cfRule>
    <cfRule type="containsText" dxfId="154" priority="153" operator="containsText" text="진행중">
      <formula>NOT(ISERROR(SEARCH("진행중",B100)))</formula>
    </cfRule>
    <cfRule type="containsText" dxfId="153" priority="154" operator="containsText" text="완료">
      <formula>NOT(ISERROR(SEARCH("완료",B100)))</formula>
    </cfRule>
    <cfRule type="containsText" dxfId="152" priority="155" operator="containsText" text="보류">
      <formula>NOT(ISERROR(SEARCH("보류",B100)))</formula>
    </cfRule>
    <cfRule type="containsText" dxfId="151" priority="156" operator="containsText" text="진행예정">
      <formula>NOT(ISERROR(SEARCH("진행예정",B100)))</formula>
    </cfRule>
  </conditionalFormatting>
  <conditionalFormatting sqref="B101">
    <cfRule type="containsText" dxfId="150" priority="147" operator="containsText" text="취소">
      <formula>NOT(ISERROR(SEARCH("취소",B101)))</formula>
    </cfRule>
    <cfRule type="containsText" dxfId="149" priority="148" operator="containsText" text="진행중">
      <formula>NOT(ISERROR(SEARCH("진행중",B101)))</formula>
    </cfRule>
    <cfRule type="containsText" dxfId="148" priority="149" operator="containsText" text="완료">
      <formula>NOT(ISERROR(SEARCH("완료",B101)))</formula>
    </cfRule>
    <cfRule type="containsText" dxfId="147" priority="150" operator="containsText" text="보류">
      <formula>NOT(ISERROR(SEARCH("보류",B101)))</formula>
    </cfRule>
    <cfRule type="containsText" dxfId="146" priority="151" operator="containsText" text="진행예정">
      <formula>NOT(ISERROR(SEARCH("진행예정",B101)))</formula>
    </cfRule>
  </conditionalFormatting>
  <conditionalFormatting sqref="B243:B244 B248:B267 B226:B228 B194:B224 B154:B191">
    <cfRule type="containsText" dxfId="145" priority="142" operator="containsText" text="취소">
      <formula>NOT(ISERROR(SEARCH("취소",B154)))</formula>
    </cfRule>
    <cfRule type="containsText" dxfId="144" priority="143" operator="containsText" text="진행중">
      <formula>NOT(ISERROR(SEARCH("진행중",B154)))</formula>
    </cfRule>
    <cfRule type="containsText" dxfId="143" priority="144" operator="containsText" text="완료">
      <formula>NOT(ISERROR(SEARCH("완료",B154)))</formula>
    </cfRule>
    <cfRule type="containsText" dxfId="142" priority="145" operator="containsText" text="보류">
      <formula>NOT(ISERROR(SEARCH("보류",B154)))</formula>
    </cfRule>
    <cfRule type="containsText" dxfId="141" priority="146" operator="containsText" text="진행예정">
      <formula>NOT(ISERROR(SEARCH("진행예정",B154)))</formula>
    </cfRule>
  </conditionalFormatting>
  <conditionalFormatting sqref="B181">
    <cfRule type="containsText" dxfId="140" priority="137" operator="containsText" text="취소">
      <formula>NOT(ISERROR(SEARCH("취소",B181)))</formula>
    </cfRule>
    <cfRule type="containsText" dxfId="139" priority="138" operator="containsText" text="진행중">
      <formula>NOT(ISERROR(SEARCH("진행중",B181)))</formula>
    </cfRule>
    <cfRule type="containsText" dxfId="138" priority="139" operator="containsText" text="완료">
      <formula>NOT(ISERROR(SEARCH("완료",B181)))</formula>
    </cfRule>
    <cfRule type="containsText" dxfId="137" priority="140" operator="containsText" text="보류">
      <formula>NOT(ISERROR(SEARCH("보류",B181)))</formula>
    </cfRule>
    <cfRule type="containsText" dxfId="136" priority="141" operator="containsText" text="진행예정">
      <formula>NOT(ISERROR(SEARCH("진행예정",B181)))</formula>
    </cfRule>
  </conditionalFormatting>
  <conditionalFormatting sqref="M223:O223 M222 O222 M202:M204 O202:O204 M218:O221 M178:O186 M177 O177 M154 O154 M224 O224 M205:O216 M190:O201 M155:O176 M187:M189 O187:O189 M248:O267">
    <cfRule type="cellIs" dxfId="135" priority="135" stopIfTrue="1" operator="equal">
      <formula>"x"</formula>
    </cfRule>
    <cfRule type="cellIs" dxfId="134" priority="136" stopIfTrue="1" operator="equal">
      <formula>"o"</formula>
    </cfRule>
  </conditionalFormatting>
  <conditionalFormatting sqref="M217:O217">
    <cfRule type="cellIs" dxfId="133" priority="133" stopIfTrue="1" operator="equal">
      <formula>"x"</formula>
    </cfRule>
    <cfRule type="cellIs" dxfId="132" priority="134" stopIfTrue="1" operator="equal">
      <formula>"o"</formula>
    </cfRule>
  </conditionalFormatting>
  <conditionalFormatting sqref="M225 O225">
    <cfRule type="cellIs" dxfId="131" priority="131" stopIfTrue="1" operator="equal">
      <formula>"x"</formula>
    </cfRule>
    <cfRule type="cellIs" dxfId="130" priority="132" stopIfTrue="1" operator="equal">
      <formula>"o"</formula>
    </cfRule>
  </conditionalFormatting>
  <conditionalFormatting sqref="M226:O226">
    <cfRule type="cellIs" dxfId="129" priority="129" stopIfTrue="1" operator="equal">
      <formula>"x"</formula>
    </cfRule>
    <cfRule type="cellIs" dxfId="128" priority="130" stopIfTrue="1" operator="equal">
      <formula>"o"</formula>
    </cfRule>
  </conditionalFormatting>
  <conditionalFormatting sqref="M228:O228">
    <cfRule type="cellIs" dxfId="127" priority="127" stopIfTrue="1" operator="equal">
      <formula>"x"</formula>
    </cfRule>
    <cfRule type="cellIs" dxfId="126" priority="128" stopIfTrue="1" operator="equal">
      <formula>"o"</formula>
    </cfRule>
  </conditionalFormatting>
  <conditionalFormatting sqref="M227:O227">
    <cfRule type="cellIs" dxfId="125" priority="125" stopIfTrue="1" operator="equal">
      <formula>"x"</formula>
    </cfRule>
    <cfRule type="cellIs" dxfId="124" priority="126" stopIfTrue="1" operator="equal">
      <formula>"o"</formula>
    </cfRule>
  </conditionalFormatting>
  <conditionalFormatting sqref="M234 O234">
    <cfRule type="cellIs" dxfId="123" priority="123" stopIfTrue="1" operator="equal">
      <formula>"x"</formula>
    </cfRule>
    <cfRule type="cellIs" dxfId="122" priority="124" stopIfTrue="1" operator="equal">
      <formula>"o"</formula>
    </cfRule>
  </conditionalFormatting>
  <conditionalFormatting sqref="M235:O240 M243:O244">
    <cfRule type="cellIs" dxfId="121" priority="121" stopIfTrue="1" operator="equal">
      <formula>"x"</formula>
    </cfRule>
    <cfRule type="cellIs" dxfId="120" priority="122" stopIfTrue="1" operator="equal">
      <formula>"o"</formula>
    </cfRule>
  </conditionalFormatting>
  <conditionalFormatting sqref="B229">
    <cfRule type="containsText" dxfId="119" priority="116" operator="containsText" text="취소">
      <formula>NOT(ISERROR(SEARCH("취소",B229)))</formula>
    </cfRule>
    <cfRule type="containsText" dxfId="118" priority="117" operator="containsText" text="진행중">
      <formula>NOT(ISERROR(SEARCH("진행중",B229)))</formula>
    </cfRule>
    <cfRule type="containsText" dxfId="117" priority="118" operator="containsText" text="완료">
      <formula>NOT(ISERROR(SEARCH("완료",B229)))</formula>
    </cfRule>
    <cfRule type="containsText" dxfId="116" priority="119" operator="containsText" text="보류">
      <formula>NOT(ISERROR(SEARCH("보류",B229)))</formula>
    </cfRule>
    <cfRule type="containsText" dxfId="115" priority="120" operator="containsText" text="진행예정">
      <formula>NOT(ISERROR(SEARCH("진행예정",B229)))</formula>
    </cfRule>
  </conditionalFormatting>
  <conditionalFormatting sqref="B229">
    <cfRule type="containsText" dxfId="114" priority="111" operator="containsText" text="취소">
      <formula>NOT(ISERROR(SEARCH("취소",B229)))</formula>
    </cfRule>
    <cfRule type="containsText" dxfId="113" priority="112" operator="containsText" text="진행중">
      <formula>NOT(ISERROR(SEARCH("진행중",B229)))</formula>
    </cfRule>
    <cfRule type="containsText" dxfId="112" priority="113" operator="containsText" text="완료">
      <formula>NOT(ISERROR(SEARCH("완료",B229)))</formula>
    </cfRule>
    <cfRule type="containsText" dxfId="111" priority="114" operator="containsText" text="보류">
      <formula>NOT(ISERROR(SEARCH("보류",B229)))</formula>
    </cfRule>
    <cfRule type="containsText" dxfId="110" priority="115" operator="containsText" text="진행예정">
      <formula>NOT(ISERROR(SEARCH("진행예정",B229)))</formula>
    </cfRule>
  </conditionalFormatting>
  <conditionalFormatting sqref="M229:M233 O229:O233">
    <cfRule type="cellIs" dxfId="109" priority="109" stopIfTrue="1" operator="equal">
      <formula>"x"</formula>
    </cfRule>
    <cfRule type="cellIs" dxfId="108" priority="110" stopIfTrue="1" operator="equal">
      <formula>"o"</formula>
    </cfRule>
  </conditionalFormatting>
  <conditionalFormatting sqref="B230:B234">
    <cfRule type="containsText" dxfId="107" priority="104" operator="containsText" text="취소">
      <formula>NOT(ISERROR(SEARCH("취소",B230)))</formula>
    </cfRule>
    <cfRule type="containsText" dxfId="106" priority="105" operator="containsText" text="진행중">
      <formula>NOT(ISERROR(SEARCH("진행중",B230)))</formula>
    </cfRule>
    <cfRule type="containsText" dxfId="105" priority="106" operator="containsText" text="완료">
      <formula>NOT(ISERROR(SEARCH("완료",B230)))</formula>
    </cfRule>
    <cfRule type="containsText" dxfId="104" priority="107" operator="containsText" text="보류">
      <formula>NOT(ISERROR(SEARCH("보류",B230)))</formula>
    </cfRule>
    <cfRule type="containsText" dxfId="103" priority="108" operator="containsText" text="진행예정">
      <formula>NOT(ISERROR(SEARCH("진행예정",B230)))</formula>
    </cfRule>
  </conditionalFormatting>
  <conditionalFormatting sqref="N224">
    <cfRule type="cellIs" dxfId="102" priority="102" stopIfTrue="1" operator="equal">
      <formula>"x"</formula>
    </cfRule>
    <cfRule type="cellIs" dxfId="101" priority="103" stopIfTrue="1" operator="equal">
      <formula>"o"</formula>
    </cfRule>
  </conditionalFormatting>
  <conditionalFormatting sqref="M241:O242">
    <cfRule type="cellIs" dxfId="100" priority="100" stopIfTrue="1" operator="equal">
      <formula>"x"</formula>
    </cfRule>
    <cfRule type="cellIs" dxfId="99" priority="101" stopIfTrue="1" operator="equal">
      <formula>"o"</formula>
    </cfRule>
  </conditionalFormatting>
  <conditionalFormatting sqref="N230">
    <cfRule type="cellIs" dxfId="98" priority="98" stopIfTrue="1" operator="equal">
      <formula>"x"</formula>
    </cfRule>
    <cfRule type="cellIs" dxfId="97" priority="99" stopIfTrue="1" operator="equal">
      <formula>"o"</formula>
    </cfRule>
  </conditionalFormatting>
  <conditionalFormatting sqref="B246">
    <cfRule type="containsText" dxfId="96" priority="93" operator="containsText" text="취소">
      <formula>NOT(ISERROR(SEARCH("취소",B246)))</formula>
    </cfRule>
    <cfRule type="containsText" dxfId="95" priority="94" operator="containsText" text="진행중">
      <formula>NOT(ISERROR(SEARCH("진행중",B246)))</formula>
    </cfRule>
    <cfRule type="containsText" dxfId="94" priority="95" operator="containsText" text="완료">
      <formula>NOT(ISERROR(SEARCH("완료",B246)))</formula>
    </cfRule>
    <cfRule type="containsText" dxfId="93" priority="96" operator="containsText" text="보류">
      <formula>NOT(ISERROR(SEARCH("보류",B246)))</formula>
    </cfRule>
    <cfRule type="containsText" dxfId="92" priority="97" operator="containsText" text="진행예정">
      <formula>NOT(ISERROR(SEARCH("진행예정",B246)))</formula>
    </cfRule>
  </conditionalFormatting>
  <conditionalFormatting sqref="M246:O246">
    <cfRule type="cellIs" dxfId="91" priority="91" stopIfTrue="1" operator="equal">
      <formula>"x"</formula>
    </cfRule>
    <cfRule type="cellIs" dxfId="90" priority="92" stopIfTrue="1" operator="equal">
      <formula>"o"</formula>
    </cfRule>
  </conditionalFormatting>
  <conditionalFormatting sqref="B247">
    <cfRule type="containsText" dxfId="89" priority="86" operator="containsText" text="취소">
      <formula>NOT(ISERROR(SEARCH("취소",B247)))</formula>
    </cfRule>
    <cfRule type="containsText" dxfId="88" priority="87" operator="containsText" text="진행중">
      <formula>NOT(ISERROR(SEARCH("진행중",B247)))</formula>
    </cfRule>
    <cfRule type="containsText" dxfId="87" priority="88" operator="containsText" text="완료">
      <formula>NOT(ISERROR(SEARCH("완료",B247)))</formula>
    </cfRule>
    <cfRule type="containsText" dxfId="86" priority="89" operator="containsText" text="보류">
      <formula>NOT(ISERROR(SEARCH("보류",B247)))</formula>
    </cfRule>
    <cfRule type="containsText" dxfId="85" priority="90" operator="containsText" text="진행예정">
      <formula>NOT(ISERROR(SEARCH("진행예정",B247)))</formula>
    </cfRule>
  </conditionalFormatting>
  <conditionalFormatting sqref="M247:O247">
    <cfRule type="cellIs" dxfId="84" priority="84" stopIfTrue="1" operator="equal">
      <formula>"x"</formula>
    </cfRule>
    <cfRule type="cellIs" dxfId="83" priority="85" stopIfTrue="1" operator="equal">
      <formula>"o"</formula>
    </cfRule>
  </conditionalFormatting>
  <conditionalFormatting sqref="N225">
    <cfRule type="cellIs" dxfId="82" priority="82" stopIfTrue="1" operator="equal">
      <formula>"x"</formula>
    </cfRule>
    <cfRule type="cellIs" dxfId="81" priority="83" stopIfTrue="1" operator="equal">
      <formula>"o"</formula>
    </cfRule>
  </conditionalFormatting>
  <conditionalFormatting sqref="B245">
    <cfRule type="containsText" dxfId="80" priority="77" operator="containsText" text="취소">
      <formula>NOT(ISERROR(SEARCH("취소",B245)))</formula>
    </cfRule>
    <cfRule type="containsText" dxfId="79" priority="78" operator="containsText" text="진행중">
      <formula>NOT(ISERROR(SEARCH("진행중",B245)))</formula>
    </cfRule>
    <cfRule type="containsText" dxfId="78" priority="79" operator="containsText" text="완료">
      <formula>NOT(ISERROR(SEARCH("완료",B245)))</formula>
    </cfRule>
    <cfRule type="containsText" dxfId="77" priority="80" operator="containsText" text="보류">
      <formula>NOT(ISERROR(SEARCH("보류",B245)))</formula>
    </cfRule>
    <cfRule type="containsText" dxfId="76" priority="81" operator="containsText" text="진행예정">
      <formula>NOT(ISERROR(SEARCH("진행예정",B245)))</formula>
    </cfRule>
  </conditionalFormatting>
  <conditionalFormatting sqref="M245:O245">
    <cfRule type="cellIs" dxfId="75" priority="75" stopIfTrue="1" operator="equal">
      <formula>"x"</formula>
    </cfRule>
    <cfRule type="cellIs" dxfId="74" priority="76" stopIfTrue="1" operator="equal">
      <formula>"o"</formula>
    </cfRule>
  </conditionalFormatting>
  <conditionalFormatting sqref="B268">
    <cfRule type="containsText" dxfId="73" priority="70" operator="containsText" text="취소">
      <formula>NOT(ISERROR(SEARCH("취소",B268)))</formula>
    </cfRule>
    <cfRule type="containsText" dxfId="72" priority="71" operator="containsText" text="진행중">
      <formula>NOT(ISERROR(SEARCH("진행중",B268)))</formula>
    </cfRule>
    <cfRule type="containsText" dxfId="71" priority="72" operator="containsText" text="완료">
      <formula>NOT(ISERROR(SEARCH("완료",B268)))</formula>
    </cfRule>
    <cfRule type="containsText" dxfId="70" priority="73" operator="containsText" text="보류">
      <formula>NOT(ISERROR(SEARCH("보류",B268)))</formula>
    </cfRule>
    <cfRule type="containsText" dxfId="69" priority="74" operator="containsText" text="진행예정">
      <formula>NOT(ISERROR(SEARCH("진행예정",B268)))</formula>
    </cfRule>
  </conditionalFormatting>
  <conditionalFormatting sqref="M268:O268">
    <cfRule type="cellIs" dxfId="68" priority="68" stopIfTrue="1" operator="equal">
      <formula>"x"</formula>
    </cfRule>
    <cfRule type="cellIs" dxfId="67" priority="69" stopIfTrue="1" operator="equal">
      <formula>"o"</formula>
    </cfRule>
  </conditionalFormatting>
  <conditionalFormatting sqref="B269">
    <cfRule type="containsText" dxfId="66" priority="63" operator="containsText" text="취소">
      <formula>NOT(ISERROR(SEARCH("취소",B269)))</formula>
    </cfRule>
    <cfRule type="containsText" dxfId="65" priority="64" operator="containsText" text="진행중">
      <formula>NOT(ISERROR(SEARCH("진행중",B269)))</formula>
    </cfRule>
    <cfRule type="containsText" dxfId="64" priority="65" operator="containsText" text="완료">
      <formula>NOT(ISERROR(SEARCH("완료",B269)))</formula>
    </cfRule>
    <cfRule type="containsText" dxfId="63" priority="66" operator="containsText" text="보류">
      <formula>NOT(ISERROR(SEARCH("보류",B269)))</formula>
    </cfRule>
    <cfRule type="containsText" dxfId="62" priority="67" operator="containsText" text="진행예정">
      <formula>NOT(ISERROR(SEARCH("진행예정",B269)))</formula>
    </cfRule>
  </conditionalFormatting>
  <conditionalFormatting sqref="M269:O269">
    <cfRule type="cellIs" dxfId="61" priority="61" stopIfTrue="1" operator="equal">
      <formula>"x"</formula>
    </cfRule>
    <cfRule type="cellIs" dxfId="60" priority="62" stopIfTrue="1" operator="equal">
      <formula>"o"</formula>
    </cfRule>
  </conditionalFormatting>
  <conditionalFormatting sqref="B270">
    <cfRule type="containsText" dxfId="59" priority="56" operator="containsText" text="취소">
      <formula>NOT(ISERROR(SEARCH("취소",B270)))</formula>
    </cfRule>
    <cfRule type="containsText" dxfId="58" priority="57" operator="containsText" text="진행중">
      <formula>NOT(ISERROR(SEARCH("진행중",B270)))</formula>
    </cfRule>
    <cfRule type="containsText" dxfId="57" priority="58" operator="containsText" text="완료">
      <formula>NOT(ISERROR(SEARCH("완료",B270)))</formula>
    </cfRule>
    <cfRule type="containsText" dxfId="56" priority="59" operator="containsText" text="보류">
      <formula>NOT(ISERROR(SEARCH("보류",B270)))</formula>
    </cfRule>
    <cfRule type="containsText" dxfId="55" priority="60" operator="containsText" text="진행예정">
      <formula>NOT(ISERROR(SEARCH("진행예정",B270)))</formula>
    </cfRule>
  </conditionalFormatting>
  <conditionalFormatting sqref="M270:O270">
    <cfRule type="cellIs" dxfId="54" priority="54" stopIfTrue="1" operator="equal">
      <formula>"x"</formula>
    </cfRule>
    <cfRule type="cellIs" dxfId="53" priority="55" stopIfTrue="1" operator="equal">
      <formula>"o"</formula>
    </cfRule>
  </conditionalFormatting>
  <conditionalFormatting sqref="B271">
    <cfRule type="containsText" dxfId="52" priority="49" operator="containsText" text="취소">
      <formula>NOT(ISERROR(SEARCH("취소",B271)))</formula>
    </cfRule>
    <cfRule type="containsText" dxfId="51" priority="50" operator="containsText" text="진행중">
      <formula>NOT(ISERROR(SEARCH("진행중",B271)))</formula>
    </cfRule>
    <cfRule type="containsText" dxfId="50" priority="51" operator="containsText" text="완료">
      <formula>NOT(ISERROR(SEARCH("완료",B271)))</formula>
    </cfRule>
    <cfRule type="containsText" dxfId="49" priority="52" operator="containsText" text="보류">
      <formula>NOT(ISERROR(SEARCH("보류",B271)))</formula>
    </cfRule>
    <cfRule type="containsText" dxfId="48" priority="53" operator="containsText" text="진행예정">
      <formula>NOT(ISERROR(SEARCH("진행예정",B271)))</formula>
    </cfRule>
  </conditionalFormatting>
  <conditionalFormatting sqref="M271:O271">
    <cfRule type="cellIs" dxfId="47" priority="47" stopIfTrue="1" operator="equal">
      <formula>"x"</formula>
    </cfRule>
    <cfRule type="cellIs" dxfId="46" priority="48" stopIfTrue="1" operator="equal">
      <formula>"o"</formula>
    </cfRule>
  </conditionalFormatting>
  <conditionalFormatting sqref="B272">
    <cfRule type="containsText" dxfId="45" priority="42" operator="containsText" text="취소">
      <formula>NOT(ISERROR(SEARCH("취소",B272)))</formula>
    </cfRule>
    <cfRule type="containsText" dxfId="44" priority="43" operator="containsText" text="진행중">
      <formula>NOT(ISERROR(SEARCH("진행중",B272)))</formula>
    </cfRule>
    <cfRule type="containsText" dxfId="43" priority="44" operator="containsText" text="완료">
      <formula>NOT(ISERROR(SEARCH("완료",B272)))</formula>
    </cfRule>
    <cfRule type="containsText" dxfId="42" priority="45" operator="containsText" text="보류">
      <formula>NOT(ISERROR(SEARCH("보류",B272)))</formula>
    </cfRule>
    <cfRule type="containsText" dxfId="41" priority="46" operator="containsText" text="진행예정">
      <formula>NOT(ISERROR(SEARCH("진행예정",B272)))</formula>
    </cfRule>
  </conditionalFormatting>
  <conditionalFormatting sqref="M272:O272">
    <cfRule type="cellIs" dxfId="40" priority="40" stopIfTrue="1" operator="equal">
      <formula>"x"</formula>
    </cfRule>
    <cfRule type="cellIs" dxfId="39" priority="41" stopIfTrue="1" operator="equal">
      <formula>"o"</formula>
    </cfRule>
  </conditionalFormatting>
  <conditionalFormatting sqref="B273">
    <cfRule type="containsText" dxfId="38" priority="35" operator="containsText" text="취소">
      <formula>NOT(ISERROR(SEARCH("취소",B273)))</formula>
    </cfRule>
    <cfRule type="containsText" dxfId="37" priority="36" operator="containsText" text="진행중">
      <formula>NOT(ISERROR(SEARCH("진행중",B273)))</formula>
    </cfRule>
    <cfRule type="containsText" dxfId="36" priority="37" operator="containsText" text="완료">
      <formula>NOT(ISERROR(SEARCH("완료",B273)))</formula>
    </cfRule>
    <cfRule type="containsText" dxfId="35" priority="38" operator="containsText" text="보류">
      <formula>NOT(ISERROR(SEARCH("보류",B273)))</formula>
    </cfRule>
    <cfRule type="containsText" dxfId="34" priority="39" operator="containsText" text="진행예정">
      <formula>NOT(ISERROR(SEARCH("진행예정",B273)))</formula>
    </cfRule>
  </conditionalFormatting>
  <conditionalFormatting sqref="M273:O273">
    <cfRule type="cellIs" dxfId="33" priority="33" stopIfTrue="1" operator="equal">
      <formula>"x"</formula>
    </cfRule>
    <cfRule type="cellIs" dxfId="32" priority="34" stopIfTrue="1" operator="equal">
      <formula>"o"</formula>
    </cfRule>
  </conditionalFormatting>
  <conditionalFormatting sqref="B274">
    <cfRule type="containsText" dxfId="31" priority="28" operator="containsText" text="취소">
      <formula>NOT(ISERROR(SEARCH("취소",B274)))</formula>
    </cfRule>
    <cfRule type="containsText" dxfId="30" priority="29" operator="containsText" text="진행중">
      <formula>NOT(ISERROR(SEARCH("진행중",B274)))</formula>
    </cfRule>
    <cfRule type="containsText" dxfId="29" priority="30" operator="containsText" text="완료">
      <formula>NOT(ISERROR(SEARCH("완료",B274)))</formula>
    </cfRule>
    <cfRule type="containsText" dxfId="28" priority="31" operator="containsText" text="보류">
      <formula>NOT(ISERROR(SEARCH("보류",B274)))</formula>
    </cfRule>
    <cfRule type="containsText" dxfId="27" priority="32" operator="containsText" text="진행예정">
      <formula>NOT(ISERROR(SEARCH("진행예정",B274)))</formula>
    </cfRule>
  </conditionalFormatting>
  <conditionalFormatting sqref="M274:O274">
    <cfRule type="cellIs" dxfId="26" priority="26" stopIfTrue="1" operator="equal">
      <formula>"x"</formula>
    </cfRule>
    <cfRule type="cellIs" dxfId="25" priority="27" stopIfTrue="1" operator="equal">
      <formula>"o"</formula>
    </cfRule>
  </conditionalFormatting>
  <conditionalFormatting sqref="B225">
    <cfRule type="containsText" dxfId="24" priority="21" operator="containsText" text="취소">
      <formula>NOT(ISERROR(SEARCH("취소",B225)))</formula>
    </cfRule>
    <cfRule type="containsText" dxfId="23" priority="22" operator="containsText" text="진행중">
      <formula>NOT(ISERROR(SEARCH("진행중",B225)))</formula>
    </cfRule>
    <cfRule type="containsText" dxfId="22" priority="23" operator="containsText" text="완료">
      <formula>NOT(ISERROR(SEARCH("완료",B225)))</formula>
    </cfRule>
    <cfRule type="containsText" dxfId="21" priority="24" operator="containsText" text="보류">
      <formula>NOT(ISERROR(SEARCH("보류",B225)))</formula>
    </cfRule>
    <cfRule type="containsText" dxfId="20" priority="25" operator="containsText" text="진행예정">
      <formula>NOT(ISERROR(SEARCH("진행예정",B225)))</formula>
    </cfRule>
  </conditionalFormatting>
  <conditionalFormatting sqref="B225">
    <cfRule type="containsText" dxfId="19" priority="16" operator="containsText" text="취소">
      <formula>NOT(ISERROR(SEARCH("취소",B225)))</formula>
    </cfRule>
    <cfRule type="containsText" dxfId="18" priority="17" operator="containsText" text="진행중">
      <formula>NOT(ISERROR(SEARCH("진행중",B225)))</formula>
    </cfRule>
    <cfRule type="containsText" dxfId="17" priority="18" operator="containsText" text="완료">
      <formula>NOT(ISERROR(SEARCH("완료",B225)))</formula>
    </cfRule>
    <cfRule type="containsText" dxfId="16" priority="19" operator="containsText" text="보류">
      <formula>NOT(ISERROR(SEARCH("보류",B225)))</formula>
    </cfRule>
    <cfRule type="containsText" dxfId="15" priority="20" operator="containsText" text="진행예정">
      <formula>NOT(ISERROR(SEARCH("진행예정",B225)))</formula>
    </cfRule>
  </conditionalFormatting>
  <conditionalFormatting sqref="B192">
    <cfRule type="containsText" dxfId="14" priority="11" operator="containsText" text="취소">
      <formula>NOT(ISERROR(SEARCH("취소",B192)))</formula>
    </cfRule>
    <cfRule type="containsText" dxfId="13" priority="12" operator="containsText" text="진행중">
      <formula>NOT(ISERROR(SEARCH("진행중",B192)))</formula>
    </cfRule>
    <cfRule type="containsText" dxfId="12" priority="13" operator="containsText" text="완료">
      <formula>NOT(ISERROR(SEARCH("완료",B192)))</formula>
    </cfRule>
    <cfRule type="containsText" dxfId="11" priority="14" operator="containsText" text="보류">
      <formula>NOT(ISERROR(SEARCH("보류",B192)))</formula>
    </cfRule>
    <cfRule type="containsText" dxfId="10" priority="15" operator="containsText" text="진행예정">
      <formula>NOT(ISERROR(SEARCH("진행예정",B192)))</formula>
    </cfRule>
  </conditionalFormatting>
  <conditionalFormatting sqref="B193">
    <cfRule type="containsText" dxfId="9" priority="6" operator="containsText" text="취소">
      <formula>NOT(ISERROR(SEARCH("취소",B193)))</formula>
    </cfRule>
    <cfRule type="containsText" dxfId="8" priority="7" operator="containsText" text="진행중">
      <formula>NOT(ISERROR(SEARCH("진행중",B193)))</formula>
    </cfRule>
    <cfRule type="containsText" dxfId="7" priority="8" operator="containsText" text="완료">
      <formula>NOT(ISERROR(SEARCH("완료",B193)))</formula>
    </cfRule>
    <cfRule type="containsText" dxfId="6" priority="9" operator="containsText" text="보류">
      <formula>NOT(ISERROR(SEARCH("보류",B193)))</formula>
    </cfRule>
    <cfRule type="containsText" dxfId="5" priority="10" operator="containsText" text="진행예정">
      <formula>NOT(ISERROR(SEARCH("진행예정",B193)))</formula>
    </cfRule>
  </conditionalFormatting>
  <conditionalFormatting sqref="B235:B242">
    <cfRule type="containsText" dxfId="4" priority="1" operator="containsText" text="취소">
      <formula>NOT(ISERROR(SEARCH("취소",B235)))</formula>
    </cfRule>
    <cfRule type="containsText" dxfId="3" priority="2" operator="containsText" text="진행중">
      <formula>NOT(ISERROR(SEARCH("진행중",B235)))</formula>
    </cfRule>
    <cfRule type="containsText" dxfId="2" priority="3" operator="containsText" text="완료">
      <formula>NOT(ISERROR(SEARCH("완료",B235)))</formula>
    </cfRule>
    <cfRule type="containsText" dxfId="1" priority="4" operator="containsText" text="보류">
      <formula>NOT(ISERROR(SEARCH("보류",B235)))</formula>
    </cfRule>
    <cfRule type="containsText" dxfId="0" priority="5" operator="containsText" text="진행예정">
      <formula>NOT(ISERROR(SEARCH("진행예정",B235)))</formula>
    </cfRule>
  </conditionalFormatting>
  <dataValidations count="2">
    <dataValidation imeMode="halfAlpha" allowBlank="1" showInputMessage="1" showErrorMessage="1" sqref="N154 N177 N231:N234 N202:N204 N222 N229 N187:N189 D248:D274" xr:uid="{3C0C479E-6A5A-45B9-9F0D-B138ABD88ECF}"/>
    <dataValidation imeMode="halfHangul" allowBlank="1" showInputMessage="1" showErrorMessage="1" sqref="M2:O2 B1:C1048576 N178:N186 N205:N221 N223:N228 N155:N176 N230 N190:N201 M154:M255 O154:O255 N235:N255 M256:O274 F248:F274" xr:uid="{994445F3-1E4F-44A2-BD3F-3EE69C2B0030}"/>
  </dataValidations>
  <printOptions horizontalCentered="1"/>
  <pageMargins left="0.25" right="0.25" top="0.75" bottom="0.28000000000000003" header="0.3" footer="0.2"/>
  <pageSetup paperSize="9" scale="7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Dashboard용</vt:lpstr>
      <vt:lpstr>Dashboard용!Print_Area</vt:lpstr>
      <vt:lpstr>Dashboard용!Print_Titles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GOF007</dc:creator>
  <cp:lastModifiedBy>GOF007</cp:lastModifiedBy>
  <dcterms:created xsi:type="dcterms:W3CDTF">2026-10-06T01:52:11Z</dcterms:created>
  <dcterms:modified xsi:type="dcterms:W3CDTF">2026-10-06T02:23:27Z</dcterms:modified>
</cp:coreProperties>
</file>